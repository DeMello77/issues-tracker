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59384\OneDrive - Positivo\Documentos\PROJETOS\POSITIVO\T3010DW\ISSUES\files\"/>
    </mc:Choice>
  </mc:AlternateContent>
  <xr:revisionPtr revIDLastSave="0" documentId="13_ncr:1_{A4698D40-2FA6-454B-B254-EA1A98B531DD}" xr6:coauthVersionLast="47" xr6:coauthVersionMax="47" xr10:uidLastSave="{00000000-0000-0000-0000-000000000000}"/>
  <bookViews>
    <workbookView xWindow="-80" yWindow="-80" windowWidth="19360" windowHeight="10240" activeTab="1" xr2:uid="{00000000-000D-0000-FFFF-FFFF00000000}"/>
  </bookViews>
  <sheets>
    <sheet name="DASHBOARD" sheetId="1" r:id="rId1"/>
    <sheet name="ISSUES" sheetId="2" r:id="rId2"/>
    <sheet name="LEGEND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  <c r="B7" i="1" l="1"/>
</calcChain>
</file>

<file path=xl/sharedStrings.xml><?xml version="1.0" encoding="utf-8"?>
<sst xmlns="http://schemas.openxmlformats.org/spreadsheetml/2006/main" count="257" uniqueCount="92">
  <si>
    <t>T3010DW - ISSUES DASHBOARD</t>
  </si>
  <si>
    <t>TOTAL DE ISSUES</t>
  </si>
  <si>
    <t>ABERTOS</t>
  </si>
  <si>
    <t>EM ANÁLISE</t>
  </si>
  <si>
    <t>RESOLVIDOS</t>
  </si>
  <si>
    <t>TAXA RESOLUÇÃO (%)</t>
  </si>
  <si>
    <t>ID</t>
  </si>
  <si>
    <t>Prioridade</t>
  </si>
  <si>
    <t>Tipo</t>
  </si>
  <si>
    <t>Categoria</t>
  </si>
  <si>
    <t>Sumário</t>
  </si>
  <si>
    <t>Status</t>
  </si>
  <si>
    <t>Data Aberta</t>
  </si>
  <si>
    <t>Responsável</t>
  </si>
  <si>
    <t>Versão Reportada</t>
  </si>
  <si>
    <t>Versão Fix</t>
  </si>
  <si>
    <t>Teste Validação</t>
  </si>
  <si>
    <t>Data Fechamento</t>
  </si>
  <si>
    <t>OK/NOK Final</t>
  </si>
  <si>
    <t>Normal</t>
  </si>
  <si>
    <t>SW</t>
  </si>
  <si>
    <t>CAMERA</t>
  </si>
  <si>
    <t>[T3010W] [AND16] [CAMERA] Missed information camera settings</t>
  </si>
  <si>
    <t>ABERTO</t>
  </si>
  <si>
    <t>VictorMiguel</t>
  </si>
  <si>
    <t>T3010DW.URBR2026051901U.pro.u_pk_s_v0</t>
  </si>
  <si>
    <t>NOK</t>
  </si>
  <si>
    <t>High</t>
  </si>
  <si>
    <t>[T3010W] [AND16] [CAMERA] Dark stripes on front and rear camera</t>
  </si>
  <si>
    <t>HW</t>
  </si>
  <si>
    <t>HW VERIFICATION</t>
  </si>
  <si>
    <t>[T3010W] [AND16] [HW VERIFICATION] Performance</t>
  </si>
  <si>
    <t>marlusmello</t>
  </si>
  <si>
    <t>Urgent</t>
  </si>
  <si>
    <t>[T3010W] [AND16] [HW VERIFICATION] LCD</t>
  </si>
  <si>
    <t>immediate</t>
  </si>
  <si>
    <t>SW VERIFICATION</t>
  </si>
  <si>
    <t>[T3010W] [AND16] [SW VERIFICATION] AwLog presents continuous failures when processing log code with special operators in T3010DW</t>
  </si>
  <si>
    <t>urgent</t>
  </si>
  <si>
    <t>[T3010W] [AND16] [SW VERIFICATION] Device not recognized on computer in T3010DW</t>
  </si>
  <si>
    <t>[T3010W] [AND16] [SW VERIFICATION] Virtual keyboard does not render in full screen - split layout in T3010DW</t>
  </si>
  <si>
    <t>RESOLVIDO</t>
  </si>
  <si>
    <t>T3010DW.URBR2026060101U.pro.u_pk_s_v0</t>
  </si>
  <si>
    <t>OK</t>
  </si>
  <si>
    <t>[T3010W] [AND16] [SW VERIFICATION] Initial setup screen displays incorrect message "computer" instead of "tablet"</t>
  </si>
  <si>
    <t>normal</t>
  </si>
  <si>
    <t>[T3010W] [AND16] [SW VERIFICATION] Auto-brightness disabled by default on factory settings</t>
  </si>
  <si>
    <t>[T3010W] [AND16] [SW VERIFICATION] Auto-rotation disabled by default on factory settings</t>
  </si>
  <si>
    <t>low</t>
  </si>
  <si>
    <t>OTHER</t>
  </si>
  <si>
    <t>[T3010DW][AND 16][Exploratory] Dock remains visible in Camera app instead of full-screen mode</t>
  </si>
  <si>
    <t>T3010DW.OPEN.URBR_2026051901</t>
  </si>
  <si>
    <t>T3010DW][AND 16][Exploratory] The camera app settings are not translated correctly.</t>
  </si>
  <si>
    <t>[T3010DW][AND 16][Exploratory] Adding Shortcuts to the Lock Screen</t>
  </si>
  <si>
    <t xml:space="preserve">	2026-05-25</t>
  </si>
  <si>
    <t>[T3010DW][AND 16][Exploratory] Error changing camera zoom.</t>
  </si>
  <si>
    <t>[T3010DW][AND 16][Exploratory] Incorrect date format in watermark (YYYY-MM-DD instead of DD-MM-YYYY)</t>
  </si>
  <si>
    <t>T3010W] [AND16] [HW VERIFICATION] Bluetooth exhibits connection loss at short distances (&lt;5m)</t>
  </si>
  <si>
    <t xml:space="preserve">	2026-05-26</t>
  </si>
  <si>
    <t>inaciobrazil</t>
  </si>
  <si>
    <t>[T3010W] [AND16] [HW VERIFICATION] Wi-Fi Download Throughput Significantly Lower Than Reference Device</t>
  </si>
  <si>
    <t>[T3010DW] [AND16] [SENSOR] Residual accelerometer drift displayed while device is stationary</t>
  </si>
  <si>
    <t>GuilhermeLima</t>
  </si>
  <si>
    <t>[T3010DW] [AND16] [UI] Rotation suggestion button is not displayed when Auto-rotate is disabled</t>
  </si>
  <si>
    <t>[T3010DW] [AND16] [SENSOR] Residual gyroscope movement displayed while device is stationary</t>
  </si>
  <si>
    <t>[T3010DW] [AND16] [SENSOR] Residual X-axis tilt displayed in Bubble Level app while device is resting flat</t>
  </si>
  <si>
    <t>[T3010DW] [AND16] [SENSOR] Residual Y-axis values observed in CPU-Z sensors while device is stationary</t>
  </si>
  <si>
    <t>[T3010W] [AND16] [SW VERIFICATION] YouTube Music lock screen widget misaligned to top-left corner</t>
  </si>
  <si>
    <t>[T3010W] [AND16] [SW VERIFICATION] Folder icons rendered with low quality and pixelation</t>
  </si>
  <si>
    <t>DEFINIÇÃO DE STATUS</t>
  </si>
  <si>
    <t>Issue novo, sem ação iniciada</t>
  </si>
  <si>
    <t>Marlus/ODM investigando a causa</t>
  </si>
  <si>
    <t>EM DESENVOLVIMENTO</t>
  </si>
  <si>
    <t>ODM/Ztech trabalhando na correção</t>
  </si>
  <si>
    <t>AGUARDANDO VALIDAÇÃO</t>
  </si>
  <si>
    <t>Fix pronto, aguardando teste</t>
  </si>
  <si>
    <t>Versão lançada com correção</t>
  </si>
  <si>
    <t>REJEITADO</t>
  </si>
  <si>
    <t>Não será corrigido (especificar motivo nos comentários)</t>
  </si>
  <si>
    <t>CANCELADO</t>
  </si>
  <si>
    <t>Duplicado ou não aplicável</t>
  </si>
  <si>
    <t>RESPONSÁVEIS</t>
  </si>
  <si>
    <t>Marlus</t>
  </si>
  <si>
    <t>QA/Focal - Validação e rastreamento</t>
  </si>
  <si>
    <t>Equipe de testes</t>
  </si>
  <si>
    <t>ODM</t>
  </si>
  <si>
    <t>Fornecedor/Desenvolvedor (genérico)</t>
  </si>
  <si>
    <t>Ztech</t>
  </si>
  <si>
    <t>Ztech (genérico)</t>
  </si>
  <si>
    <t>Positivo Comments</t>
  </si>
  <si>
    <t>Ztech Comments</t>
  </si>
  <si>
    <t>Tested version: T3010DW.URBR2026060101U.pro.u_pk_s_v0
Problem not fixed
In the “Other” mode, the options “Volume up key function” and “Volume down key function” are not translated. Please apply the translations below:
Volume up key function -&gt; Tecla de aumentar o volume
Volume down key function -&gt; Tecla de diminuir o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</si>
</sst>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&quot;%&quot;"/>
    <numFmt numFmtId="165" formatCode="yyyy\-mm\-dd\ h:mm:ss"/>
  </numFmts>
  <fonts count="8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2"/>
      <color rgb="FFFFFFFF"/>
      <name val="Calibri"/>
    </font>
    <font>
      <b/>
      <sz val="14"/>
      <name val="Calibri"/>
    </font>
    <font>
      <b/>
      <sz val="14"/>
      <color rgb="FFFF9800"/>
      <name val="Calibri"/>
    </font>
    <font>
      <b/>
      <sz val="14"/>
      <color rgb="FF008000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rgb="FFFFEB3B"/>
        <bgColor rgb="FFFFEB3B"/>
      </patternFill>
    </fill>
    <fill>
      <patternFill patternType="solid">
        <fgColor rgb="FFFFCCCB"/>
        <bgColor rgb="FFFFCCCB"/>
      </patternFill>
    </fill>
    <fill>
      <patternFill patternType="solid">
        <fgColor rgb="FF90EE90"/>
        <bgColor rgb="FF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/>
    <xf numFmtId="0" fontId="5" fillId="3" borderId="0" xfId="0" applyFont="1" applyFill="1"/>
    <xf numFmtId="164" fontId="3" fillId="3" borderId="0" xfId="0" applyNumberFormat="1" applyFont="1" applyFill="1"/>
    <xf numFmtId="0" fontId="6" fillId="2" borderId="0" xfId="0" applyFont="1" applyFill="1" applyAlignment="1">
      <alignment horizontal="center" vertical="center" wrapText="1"/>
    </xf>
    <xf numFmtId="0" fontId="0" fillId="4" borderId="0" xfId="0" applyFill="1"/>
    <xf numFmtId="165" fontId="0" fillId="0" borderId="0" xfId="0" applyNumberFormat="1"/>
    <xf numFmtId="0" fontId="0" fillId="5" borderId="0" xfId="0" applyFill="1"/>
    <xf numFmtId="0" fontId="0" fillId="6" borderId="0" xfId="0" applyFill="1"/>
    <xf numFmtId="0" fontId="7" fillId="0" borderId="0" xfId="0" applyFont="1"/>
    <xf numFmtId="0" fontId="1" fillId="0" borderId="0" xfId="0" applyFont="1"/>
    <xf numFmtId="0" fontId="0" fillId="0" borderId="0" xfId="0"/>
    <xf numFmtId="0" fontId="2" fillId="2" borderId="0" xfId="0" applyFont="1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/>
  </sheetViews>
  <sheetFormatPr defaultRowHeight="14.5" x14ac:dyDescent="0.35"/>
  <cols>
    <col min="1" max="1" width="30" customWidth="1"/>
    <col min="2" max="2" width="20" customWidth="1"/>
  </cols>
  <sheetData>
    <row r="1" spans="1:2" ht="21" x14ac:dyDescent="0.5">
      <c r="A1" s="12" t="s">
        <v>0</v>
      </c>
      <c r="B1" s="13"/>
    </row>
    <row r="3" spans="1:2" ht="18.5" x14ac:dyDescent="0.45">
      <c r="A3" s="1" t="s">
        <v>1</v>
      </c>
      <c r="B3" s="2">
        <f>COUNTA(ISSUES!A2:A26)</f>
        <v>25</v>
      </c>
    </row>
    <row r="4" spans="1:2" ht="18.5" x14ac:dyDescent="0.45">
      <c r="A4" s="1" t="s">
        <v>2</v>
      </c>
      <c r="B4" s="3">
        <f>COUNTIF(ISSUES!F2:F26,"ABERTO")</f>
        <v>22</v>
      </c>
    </row>
    <row r="5" spans="1:2" ht="18.5" x14ac:dyDescent="0.45">
      <c r="A5" s="1" t="s">
        <v>3</v>
      </c>
      <c r="B5" s="2">
        <f>COUNTIF(ISSUES!F2:F26,"EM ANÁLISE")</f>
        <v>0</v>
      </c>
    </row>
    <row r="6" spans="1:2" ht="18.5" x14ac:dyDescent="0.45">
      <c r="A6" s="1" t="s">
        <v>4</v>
      </c>
      <c r="B6" s="4">
        <f>COUNTIF(ISSUES!F2:F26,"RESOLVIDO")</f>
        <v>3</v>
      </c>
    </row>
    <row r="7" spans="1:2" ht="18.5" x14ac:dyDescent="0.45">
      <c r="A7" s="1" t="s">
        <v>5</v>
      </c>
      <c r="B7" s="5">
        <f>IF(B3=0,0,ROUND((B6/B3)*100,1))</f>
        <v>12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87"/>
  <sheetViews>
    <sheetView tabSelected="1" zoomScale="80" zoomScaleNormal="80" workbookViewId="0">
      <selection activeCell="L13" sqref="L13"/>
    </sheetView>
  </sheetViews>
  <sheetFormatPr defaultRowHeight="14.5" x14ac:dyDescent="0.35"/>
  <cols>
    <col min="1" max="1" width="8" customWidth="1"/>
    <col min="2" max="2" width="12" customWidth="1"/>
    <col min="3" max="3" width="8" customWidth="1"/>
    <col min="4" max="4" width="15" customWidth="1"/>
    <col min="5" max="5" width="118.6328125" bestFit="1" customWidth="1"/>
    <col min="6" max="6" width="18" customWidth="1"/>
    <col min="7" max="8" width="15" customWidth="1"/>
    <col min="9" max="10" width="41.1796875" bestFit="1" customWidth="1"/>
    <col min="11" max="11" width="18" customWidth="1"/>
    <col min="12" max="12" width="34.08984375" customWidth="1"/>
    <col min="13" max="15" width="18" customWidth="1"/>
  </cols>
  <sheetData>
    <row r="1" spans="1:15" x14ac:dyDescent="0.35">
      <c r="A1" s="6" t="s">
        <v>6</v>
      </c>
      <c r="B1" s="6" t="s">
        <v>7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6" t="s">
        <v>15</v>
      </c>
      <c r="K1" s="6" t="s">
        <v>16</v>
      </c>
      <c r="L1" s="6" t="s">
        <v>89</v>
      </c>
      <c r="M1" s="6" t="s">
        <v>90</v>
      </c>
      <c r="N1" s="6" t="s">
        <v>17</v>
      </c>
      <c r="O1" s="6" t="s">
        <v>18</v>
      </c>
    </row>
    <row r="2" spans="1:15" ht="60" customHeight="1" x14ac:dyDescent="0.35">
      <c r="A2">
        <v>29814</v>
      </c>
      <c r="B2" t="s">
        <v>19</v>
      </c>
      <c r="C2" t="s">
        <v>20</v>
      </c>
      <c r="D2" t="s">
        <v>21</v>
      </c>
      <c r="E2" t="s">
        <v>22</v>
      </c>
      <c r="F2" s="7" t="s">
        <v>23</v>
      </c>
      <c r="G2" s="15">
        <v>46164</v>
      </c>
      <c r="H2" t="s">
        <v>24</v>
      </c>
      <c r="I2" t="s">
        <v>25</v>
      </c>
      <c r="O2" t="s">
        <v>26</v>
      </c>
    </row>
    <row r="3" spans="1:15" ht="60" customHeight="1" x14ac:dyDescent="0.35">
      <c r="A3">
        <v>29813</v>
      </c>
      <c r="B3" t="s">
        <v>27</v>
      </c>
      <c r="C3" t="s">
        <v>20</v>
      </c>
      <c r="D3" t="s">
        <v>21</v>
      </c>
      <c r="E3" t="s">
        <v>28</v>
      </c>
      <c r="F3" s="7" t="s">
        <v>23</v>
      </c>
      <c r="G3" s="15">
        <v>46164</v>
      </c>
      <c r="H3" t="s">
        <v>24</v>
      </c>
      <c r="I3" t="s">
        <v>25</v>
      </c>
      <c r="O3" t="s">
        <v>26</v>
      </c>
    </row>
    <row r="4" spans="1:15" ht="60" customHeight="1" x14ac:dyDescent="0.35">
      <c r="A4">
        <v>29816</v>
      </c>
      <c r="B4" t="s">
        <v>27</v>
      </c>
      <c r="C4" t="s">
        <v>29</v>
      </c>
      <c r="D4" t="s">
        <v>30</v>
      </c>
      <c r="E4" t="s">
        <v>31</v>
      </c>
      <c r="F4" s="7" t="s">
        <v>23</v>
      </c>
      <c r="G4" s="15">
        <v>46167</v>
      </c>
      <c r="H4" t="s">
        <v>32</v>
      </c>
      <c r="I4" t="s">
        <v>25</v>
      </c>
      <c r="O4" t="s">
        <v>26</v>
      </c>
    </row>
    <row r="5" spans="1:15" ht="60" customHeight="1" x14ac:dyDescent="0.35">
      <c r="A5">
        <v>29817</v>
      </c>
      <c r="B5" s="9" t="s">
        <v>33</v>
      </c>
      <c r="C5" t="s">
        <v>29</v>
      </c>
      <c r="D5" t="s">
        <v>30</v>
      </c>
      <c r="E5" t="s">
        <v>34</v>
      </c>
      <c r="F5" s="7" t="s">
        <v>23</v>
      </c>
      <c r="G5" s="15">
        <v>46167</v>
      </c>
      <c r="H5" t="s">
        <v>32</v>
      </c>
      <c r="I5" t="s">
        <v>25</v>
      </c>
      <c r="O5" t="s">
        <v>26</v>
      </c>
    </row>
    <row r="6" spans="1:15" ht="60" customHeight="1" x14ac:dyDescent="0.35">
      <c r="A6">
        <v>29820</v>
      </c>
      <c r="B6" s="9" t="s">
        <v>35</v>
      </c>
      <c r="C6" t="s">
        <v>20</v>
      </c>
      <c r="D6" t="s">
        <v>36</v>
      </c>
      <c r="E6" t="s">
        <v>37</v>
      </c>
      <c r="F6" s="7" t="s">
        <v>23</v>
      </c>
      <c r="G6" s="15">
        <v>46167</v>
      </c>
      <c r="H6" t="s">
        <v>32</v>
      </c>
      <c r="I6" t="s">
        <v>25</v>
      </c>
      <c r="O6" t="s">
        <v>26</v>
      </c>
    </row>
    <row r="7" spans="1:15" ht="60" customHeight="1" x14ac:dyDescent="0.35">
      <c r="A7">
        <v>29821</v>
      </c>
      <c r="B7" s="9" t="s">
        <v>38</v>
      </c>
      <c r="C7" t="s">
        <v>20</v>
      </c>
      <c r="D7" t="s">
        <v>36</v>
      </c>
      <c r="E7" t="s">
        <v>39</v>
      </c>
      <c r="F7" s="7" t="s">
        <v>23</v>
      </c>
      <c r="G7" s="15">
        <v>46167</v>
      </c>
      <c r="H7" t="s">
        <v>32</v>
      </c>
      <c r="I7" t="s">
        <v>25</v>
      </c>
      <c r="O7" t="s">
        <v>26</v>
      </c>
    </row>
    <row r="8" spans="1:15" ht="60" customHeight="1" x14ac:dyDescent="0.35">
      <c r="A8">
        <v>29829</v>
      </c>
      <c r="B8" t="s">
        <v>27</v>
      </c>
      <c r="C8" t="s">
        <v>20</v>
      </c>
      <c r="D8" t="s">
        <v>36</v>
      </c>
      <c r="E8" t="s">
        <v>40</v>
      </c>
      <c r="F8" s="10" t="s">
        <v>41</v>
      </c>
      <c r="G8" s="15">
        <v>46167</v>
      </c>
      <c r="H8" t="s">
        <v>32</v>
      </c>
      <c r="I8" t="s">
        <v>25</v>
      </c>
      <c r="J8" t="s">
        <v>42</v>
      </c>
      <c r="N8" s="8"/>
      <c r="O8" t="s">
        <v>43</v>
      </c>
    </row>
    <row r="9" spans="1:15" ht="60" customHeight="1" x14ac:dyDescent="0.35">
      <c r="A9">
        <v>29830</v>
      </c>
      <c r="B9" t="s">
        <v>27</v>
      </c>
      <c r="C9" t="s">
        <v>20</v>
      </c>
      <c r="D9" t="s">
        <v>36</v>
      </c>
      <c r="E9" t="s">
        <v>44</v>
      </c>
      <c r="F9" s="10" t="s">
        <v>41</v>
      </c>
      <c r="G9" s="15">
        <v>46167</v>
      </c>
      <c r="H9" t="s">
        <v>32</v>
      </c>
      <c r="I9" t="s">
        <v>25</v>
      </c>
      <c r="J9" t="s">
        <v>42</v>
      </c>
      <c r="N9" s="8"/>
      <c r="O9" t="s">
        <v>43</v>
      </c>
    </row>
    <row r="10" spans="1:15" ht="60" customHeight="1" x14ac:dyDescent="0.35">
      <c r="A10">
        <v>29875</v>
      </c>
      <c r="B10" t="s">
        <v>45</v>
      </c>
      <c r="C10" t="s">
        <v>20</v>
      </c>
      <c r="D10" t="s">
        <v>36</v>
      </c>
      <c r="E10" t="s">
        <v>46</v>
      </c>
      <c r="F10" s="7" t="s">
        <v>23</v>
      </c>
      <c r="G10" s="15">
        <v>46174</v>
      </c>
      <c r="H10" t="s">
        <v>32</v>
      </c>
      <c r="I10" t="s">
        <v>42</v>
      </c>
      <c r="O10" t="s">
        <v>26</v>
      </c>
    </row>
    <row r="11" spans="1:15" ht="60" customHeight="1" x14ac:dyDescent="0.35">
      <c r="A11">
        <v>29874</v>
      </c>
      <c r="B11" t="s">
        <v>45</v>
      </c>
      <c r="C11" t="s">
        <v>20</v>
      </c>
      <c r="D11" t="s">
        <v>36</v>
      </c>
      <c r="E11" t="s">
        <v>47</v>
      </c>
      <c r="F11" s="7" t="s">
        <v>23</v>
      </c>
      <c r="G11" s="15">
        <v>46174</v>
      </c>
      <c r="H11" t="s">
        <v>32</v>
      </c>
      <c r="I11" t="s">
        <v>42</v>
      </c>
      <c r="O11" t="s">
        <v>26</v>
      </c>
    </row>
    <row r="12" spans="1:15" ht="60" customHeight="1" x14ac:dyDescent="0.35">
      <c r="A12">
        <v>29822</v>
      </c>
      <c r="B12" t="s">
        <v>48</v>
      </c>
      <c r="C12" t="s">
        <v>20</v>
      </c>
      <c r="D12" t="s">
        <v>49</v>
      </c>
      <c r="E12" t="s">
        <v>50</v>
      </c>
      <c r="F12" s="7" t="s">
        <v>23</v>
      </c>
      <c r="G12" s="15">
        <v>46167</v>
      </c>
      <c r="H12" t="s">
        <v>24</v>
      </c>
      <c r="I12" t="s">
        <v>51</v>
      </c>
      <c r="O12" t="s">
        <v>26</v>
      </c>
    </row>
    <row r="13" spans="1:15" ht="60" customHeight="1" x14ac:dyDescent="0.35">
      <c r="A13">
        <v>29823</v>
      </c>
      <c r="B13" t="s">
        <v>27</v>
      </c>
      <c r="C13" t="s">
        <v>20</v>
      </c>
      <c r="D13" t="s">
        <v>49</v>
      </c>
      <c r="E13" t="s">
        <v>52</v>
      </c>
      <c r="F13" s="7" t="s">
        <v>23</v>
      </c>
      <c r="G13" s="15">
        <v>46167</v>
      </c>
      <c r="H13" t="s">
        <v>24</v>
      </c>
      <c r="I13" t="s">
        <v>51</v>
      </c>
      <c r="L13" s="16" t="s">
        <v>91</v>
      </c>
      <c r="O13" t="s">
        <v>26</v>
      </c>
    </row>
    <row r="14" spans="1:15" ht="60" customHeight="1" x14ac:dyDescent="0.35">
      <c r="A14">
        <v>29824</v>
      </c>
      <c r="B14" t="s">
        <v>48</v>
      </c>
      <c r="C14" t="s">
        <v>20</v>
      </c>
      <c r="D14" t="s">
        <v>49</v>
      </c>
      <c r="E14" t="s">
        <v>53</v>
      </c>
      <c r="F14" s="7" t="s">
        <v>23</v>
      </c>
      <c r="G14" s="15" t="s">
        <v>54</v>
      </c>
      <c r="H14" t="s">
        <v>24</v>
      </c>
      <c r="I14" t="s">
        <v>51</v>
      </c>
      <c r="O14" t="s">
        <v>26</v>
      </c>
    </row>
    <row r="15" spans="1:15" ht="60" customHeight="1" x14ac:dyDescent="0.35">
      <c r="A15">
        <v>29825</v>
      </c>
      <c r="B15" t="s">
        <v>27</v>
      </c>
      <c r="C15" t="s">
        <v>20</v>
      </c>
      <c r="D15" t="s">
        <v>49</v>
      </c>
      <c r="E15" t="s">
        <v>55</v>
      </c>
      <c r="F15" s="10" t="s">
        <v>41</v>
      </c>
      <c r="G15" s="15">
        <v>46167</v>
      </c>
      <c r="H15" t="s">
        <v>24</v>
      </c>
      <c r="I15" t="s">
        <v>51</v>
      </c>
      <c r="J15" t="s">
        <v>42</v>
      </c>
      <c r="N15" s="8"/>
      <c r="O15" t="s">
        <v>43</v>
      </c>
    </row>
    <row r="16" spans="1:15" ht="60" customHeight="1" x14ac:dyDescent="0.35">
      <c r="A16">
        <v>29826</v>
      </c>
      <c r="B16" t="s">
        <v>45</v>
      </c>
      <c r="C16" t="s">
        <v>20</v>
      </c>
      <c r="D16" t="s">
        <v>49</v>
      </c>
      <c r="E16" t="s">
        <v>56</v>
      </c>
      <c r="F16" s="7" t="s">
        <v>23</v>
      </c>
      <c r="G16" s="15">
        <v>46167</v>
      </c>
      <c r="H16" t="s">
        <v>24</v>
      </c>
      <c r="I16" t="s">
        <v>51</v>
      </c>
      <c r="O16" t="s">
        <v>26</v>
      </c>
    </row>
    <row r="17" spans="1:15" ht="60" customHeight="1" x14ac:dyDescent="0.35">
      <c r="A17">
        <v>29834</v>
      </c>
      <c r="B17" t="s">
        <v>45</v>
      </c>
      <c r="C17" t="s">
        <v>20</v>
      </c>
      <c r="D17" t="s">
        <v>30</v>
      </c>
      <c r="E17" t="s">
        <v>57</v>
      </c>
      <c r="F17" s="7" t="s">
        <v>23</v>
      </c>
      <c r="G17" s="15" t="s">
        <v>58</v>
      </c>
      <c r="H17" t="s">
        <v>59</v>
      </c>
      <c r="I17" t="s">
        <v>51</v>
      </c>
      <c r="O17" t="s">
        <v>26</v>
      </c>
    </row>
    <row r="18" spans="1:15" ht="60" customHeight="1" x14ac:dyDescent="0.35">
      <c r="A18">
        <v>29833</v>
      </c>
      <c r="B18" t="s">
        <v>45</v>
      </c>
      <c r="C18" t="s">
        <v>20</v>
      </c>
      <c r="D18" t="s">
        <v>30</v>
      </c>
      <c r="E18" t="s">
        <v>60</v>
      </c>
      <c r="F18" s="7" t="s">
        <v>23</v>
      </c>
      <c r="G18" s="15" t="s">
        <v>58</v>
      </c>
      <c r="H18" t="s">
        <v>59</v>
      </c>
      <c r="I18" t="s">
        <v>51</v>
      </c>
      <c r="O18" t="s">
        <v>26</v>
      </c>
    </row>
    <row r="19" spans="1:15" ht="60" customHeight="1" x14ac:dyDescent="0.35">
      <c r="A19">
        <v>29849</v>
      </c>
      <c r="B19" t="s">
        <v>45</v>
      </c>
      <c r="C19" t="s">
        <v>20</v>
      </c>
      <c r="D19" t="s">
        <v>49</v>
      </c>
      <c r="E19" t="s">
        <v>61</v>
      </c>
      <c r="F19" s="7" t="s">
        <v>23</v>
      </c>
      <c r="G19" s="15">
        <v>46170</v>
      </c>
      <c r="H19" t="s">
        <v>62</v>
      </c>
      <c r="I19" t="s">
        <v>51</v>
      </c>
      <c r="O19" t="s">
        <v>26</v>
      </c>
    </row>
    <row r="20" spans="1:15" ht="60" customHeight="1" x14ac:dyDescent="0.35">
      <c r="A20">
        <v>29850</v>
      </c>
      <c r="B20" t="s">
        <v>27</v>
      </c>
      <c r="C20" t="s">
        <v>20</v>
      </c>
      <c r="D20" t="s">
        <v>49</v>
      </c>
      <c r="E20" t="s">
        <v>63</v>
      </c>
      <c r="F20" s="7" t="s">
        <v>23</v>
      </c>
      <c r="G20" s="15">
        <v>46170</v>
      </c>
      <c r="H20" t="s">
        <v>62</v>
      </c>
      <c r="I20" t="s">
        <v>51</v>
      </c>
      <c r="O20" t="s">
        <v>26</v>
      </c>
    </row>
    <row r="21" spans="1:15" ht="60" customHeight="1" x14ac:dyDescent="0.35">
      <c r="A21">
        <v>29851</v>
      </c>
      <c r="B21" s="9" t="s">
        <v>35</v>
      </c>
      <c r="C21" t="s">
        <v>20</v>
      </c>
      <c r="D21" t="s">
        <v>49</v>
      </c>
      <c r="E21" t="s">
        <v>64</v>
      </c>
      <c r="F21" s="7" t="s">
        <v>23</v>
      </c>
      <c r="G21" s="15">
        <v>46170</v>
      </c>
      <c r="H21" t="s">
        <v>62</v>
      </c>
      <c r="I21" t="s">
        <v>51</v>
      </c>
      <c r="O21" t="s">
        <v>26</v>
      </c>
    </row>
    <row r="22" spans="1:15" ht="60" customHeight="1" x14ac:dyDescent="0.35">
      <c r="A22">
        <v>29852</v>
      </c>
      <c r="B22" t="s">
        <v>27</v>
      </c>
      <c r="C22" t="s">
        <v>20</v>
      </c>
      <c r="D22" t="s">
        <v>49</v>
      </c>
      <c r="E22" t="s">
        <v>65</v>
      </c>
      <c r="F22" s="7" t="s">
        <v>23</v>
      </c>
      <c r="G22" s="15">
        <v>46170</v>
      </c>
      <c r="H22" t="s">
        <v>62</v>
      </c>
      <c r="I22" t="s">
        <v>51</v>
      </c>
      <c r="O22" t="s">
        <v>26</v>
      </c>
    </row>
    <row r="23" spans="1:15" ht="60" customHeight="1" x14ac:dyDescent="0.35">
      <c r="A23">
        <v>29853</v>
      </c>
      <c r="B23" t="s">
        <v>27</v>
      </c>
      <c r="C23" t="s">
        <v>20</v>
      </c>
      <c r="D23" t="s">
        <v>49</v>
      </c>
      <c r="E23" t="s">
        <v>66</v>
      </c>
      <c r="F23" s="7" t="s">
        <v>23</v>
      </c>
      <c r="G23" s="15">
        <v>46170</v>
      </c>
      <c r="H23" t="s">
        <v>62</v>
      </c>
      <c r="I23" t="s">
        <v>51</v>
      </c>
      <c r="O23" t="s">
        <v>26</v>
      </c>
    </row>
    <row r="24" spans="1:15" ht="60" customHeight="1" x14ac:dyDescent="0.35">
      <c r="A24">
        <v>29879</v>
      </c>
      <c r="B24" t="s">
        <v>45</v>
      </c>
      <c r="C24" t="s">
        <v>20</v>
      </c>
      <c r="D24" t="s">
        <v>36</v>
      </c>
      <c r="E24" t="s">
        <v>67</v>
      </c>
      <c r="F24" s="7" t="s">
        <v>23</v>
      </c>
      <c r="G24" s="15">
        <v>46174</v>
      </c>
      <c r="H24" t="s">
        <v>32</v>
      </c>
      <c r="I24" t="s">
        <v>42</v>
      </c>
      <c r="O24" t="s">
        <v>26</v>
      </c>
    </row>
    <row r="25" spans="1:15" ht="60" customHeight="1" x14ac:dyDescent="0.35">
      <c r="A25">
        <v>29880</v>
      </c>
      <c r="B25" s="9" t="s">
        <v>38</v>
      </c>
      <c r="C25" t="s">
        <v>20</v>
      </c>
      <c r="D25" t="s">
        <v>36</v>
      </c>
      <c r="E25" t="s">
        <v>68</v>
      </c>
      <c r="F25" s="7" t="s">
        <v>23</v>
      </c>
      <c r="G25" s="15">
        <v>46174</v>
      </c>
      <c r="H25" t="s">
        <v>32</v>
      </c>
      <c r="I25" t="s">
        <v>42</v>
      </c>
      <c r="O25" t="s">
        <v>26</v>
      </c>
    </row>
    <row r="26" spans="1:15" ht="60" customHeight="1" x14ac:dyDescent="0.35">
      <c r="A26">
        <v>29814</v>
      </c>
      <c r="B26" t="s">
        <v>19</v>
      </c>
      <c r="C26" t="s">
        <v>20</v>
      </c>
      <c r="D26" t="s">
        <v>21</v>
      </c>
      <c r="E26" t="s">
        <v>22</v>
      </c>
      <c r="F26" s="7" t="s">
        <v>23</v>
      </c>
      <c r="G26" s="15">
        <v>46164</v>
      </c>
      <c r="H26" t="s">
        <v>24</v>
      </c>
      <c r="I26" t="s">
        <v>25</v>
      </c>
    </row>
    <row r="27" spans="1:15" ht="60" customHeight="1" x14ac:dyDescent="0.35"/>
    <row r="28" spans="1:15" ht="60" customHeight="1" x14ac:dyDescent="0.35"/>
    <row r="29" spans="1:15" ht="60" customHeight="1" x14ac:dyDescent="0.35"/>
    <row r="30" spans="1:15" ht="60" customHeight="1" x14ac:dyDescent="0.35"/>
    <row r="31" spans="1:15" ht="60" customHeight="1" x14ac:dyDescent="0.35"/>
    <row r="32" spans="1:15" ht="60" customHeight="1" x14ac:dyDescent="0.35"/>
    <row r="33" ht="60" customHeight="1" x14ac:dyDescent="0.35"/>
    <row r="34" ht="60" customHeight="1" x14ac:dyDescent="0.35"/>
    <row r="35" ht="60" customHeight="1" x14ac:dyDescent="0.35"/>
    <row r="36" ht="60" customHeight="1" x14ac:dyDescent="0.35"/>
    <row r="37" ht="60" customHeight="1" x14ac:dyDescent="0.35"/>
    <row r="38" ht="60" customHeight="1" x14ac:dyDescent="0.35"/>
    <row r="39" ht="60" customHeight="1" x14ac:dyDescent="0.35"/>
    <row r="40" ht="60" customHeight="1" x14ac:dyDescent="0.35"/>
    <row r="41" ht="60" customHeight="1" x14ac:dyDescent="0.35"/>
    <row r="42" ht="60" customHeight="1" x14ac:dyDescent="0.35"/>
    <row r="43" ht="60" customHeight="1" x14ac:dyDescent="0.35"/>
    <row r="44" ht="60" customHeight="1" x14ac:dyDescent="0.35"/>
    <row r="45" ht="60" customHeight="1" x14ac:dyDescent="0.35"/>
    <row r="46" ht="60" customHeight="1" x14ac:dyDescent="0.35"/>
    <row r="47" ht="60" customHeight="1" x14ac:dyDescent="0.35"/>
    <row r="48" ht="60" customHeight="1" x14ac:dyDescent="0.35"/>
    <row r="49" ht="60" customHeight="1" x14ac:dyDescent="0.35"/>
    <row r="50" ht="60" customHeight="1" x14ac:dyDescent="0.35"/>
    <row r="51" ht="60" customHeight="1" x14ac:dyDescent="0.35"/>
    <row r="52" ht="60" customHeight="1" x14ac:dyDescent="0.35"/>
    <row r="53" ht="60" customHeight="1" x14ac:dyDescent="0.35"/>
    <row r="54" ht="60" customHeight="1" x14ac:dyDescent="0.35"/>
    <row r="55" ht="60" customHeight="1" x14ac:dyDescent="0.35"/>
    <row r="56" ht="60" customHeight="1" x14ac:dyDescent="0.35"/>
    <row r="57" ht="60" customHeight="1" x14ac:dyDescent="0.35"/>
    <row r="58" ht="60" customHeight="1" x14ac:dyDescent="0.35"/>
    <row r="59" ht="60" customHeight="1" x14ac:dyDescent="0.35"/>
    <row r="60" ht="60" customHeight="1" x14ac:dyDescent="0.35"/>
    <row r="61" ht="60" customHeight="1" x14ac:dyDescent="0.35"/>
    <row r="62" ht="60" customHeight="1" x14ac:dyDescent="0.35"/>
    <row r="63" ht="60" customHeight="1" x14ac:dyDescent="0.35"/>
    <row r="64" ht="60" customHeight="1" x14ac:dyDescent="0.35"/>
    <row r="65" ht="60" customHeight="1" x14ac:dyDescent="0.35"/>
    <row r="66" ht="60" customHeight="1" x14ac:dyDescent="0.35"/>
    <row r="67" ht="60" customHeight="1" x14ac:dyDescent="0.35"/>
    <row r="68" ht="60" customHeight="1" x14ac:dyDescent="0.35"/>
    <row r="69" ht="60" customHeight="1" x14ac:dyDescent="0.35"/>
    <row r="70" ht="60" customHeight="1" x14ac:dyDescent="0.35"/>
    <row r="71" ht="60" customHeight="1" x14ac:dyDescent="0.35"/>
    <row r="72" ht="60" customHeight="1" x14ac:dyDescent="0.35"/>
    <row r="73" ht="60" customHeight="1" x14ac:dyDescent="0.35"/>
    <row r="74" ht="60" customHeight="1" x14ac:dyDescent="0.35"/>
    <row r="75" ht="60" customHeight="1" x14ac:dyDescent="0.35"/>
    <row r="76" ht="60" customHeight="1" x14ac:dyDescent="0.35"/>
    <row r="77" ht="60" customHeight="1" x14ac:dyDescent="0.35"/>
    <row r="78" ht="60" customHeight="1" x14ac:dyDescent="0.35"/>
    <row r="79" ht="60" customHeight="1" x14ac:dyDescent="0.35"/>
    <row r="80" ht="60" customHeight="1" x14ac:dyDescent="0.35"/>
    <row r="81" ht="60" customHeight="1" x14ac:dyDescent="0.35"/>
    <row r="82" ht="60" customHeight="1" x14ac:dyDescent="0.35"/>
    <row r="83" ht="60" customHeight="1" x14ac:dyDescent="0.35"/>
    <row r="84" ht="60" customHeight="1" x14ac:dyDescent="0.35"/>
    <row r="85" ht="60" customHeight="1" x14ac:dyDescent="0.35"/>
    <row r="86" ht="60" customHeight="1" x14ac:dyDescent="0.35"/>
    <row r="87" ht="60" customHeight="1" x14ac:dyDescent="0.35"/>
    <row r="88" ht="60" customHeight="1" x14ac:dyDescent="0.35"/>
    <row r="89" ht="60" customHeight="1" x14ac:dyDescent="0.35"/>
    <row r="90" ht="60" customHeight="1" x14ac:dyDescent="0.35"/>
    <row r="91" ht="60" customHeight="1" x14ac:dyDescent="0.35"/>
    <row r="92" ht="60" customHeight="1" x14ac:dyDescent="0.35"/>
    <row r="93" ht="60" customHeight="1" x14ac:dyDescent="0.35"/>
    <row r="94" ht="60" customHeight="1" x14ac:dyDescent="0.35"/>
    <row r="95" ht="60" customHeight="1" x14ac:dyDescent="0.35"/>
    <row r="96" ht="60" customHeight="1" x14ac:dyDescent="0.35"/>
    <row r="97" ht="60" customHeight="1" x14ac:dyDescent="0.35"/>
    <row r="98" ht="60" customHeight="1" x14ac:dyDescent="0.35"/>
    <row r="99" ht="60" customHeight="1" x14ac:dyDescent="0.35"/>
    <row r="100" ht="60" customHeight="1" x14ac:dyDescent="0.35"/>
    <row r="101" ht="60" customHeight="1" x14ac:dyDescent="0.35"/>
    <row r="102" ht="60" customHeight="1" x14ac:dyDescent="0.35"/>
    <row r="103" ht="60" customHeight="1" x14ac:dyDescent="0.35"/>
    <row r="104" ht="60" customHeight="1" x14ac:dyDescent="0.35"/>
    <row r="105" ht="60" customHeight="1" x14ac:dyDescent="0.35"/>
    <row r="106" ht="60" customHeight="1" x14ac:dyDescent="0.35"/>
    <row r="107" ht="60" customHeight="1" x14ac:dyDescent="0.35"/>
    <row r="108" ht="60" customHeight="1" x14ac:dyDescent="0.35"/>
    <row r="109" ht="60" customHeight="1" x14ac:dyDescent="0.35"/>
    <row r="110" ht="60" customHeight="1" x14ac:dyDescent="0.35"/>
    <row r="111" ht="60" customHeight="1" x14ac:dyDescent="0.35"/>
    <row r="112" ht="60" customHeight="1" x14ac:dyDescent="0.35"/>
    <row r="113" ht="60" customHeight="1" x14ac:dyDescent="0.35"/>
    <row r="114" ht="60" customHeight="1" x14ac:dyDescent="0.35"/>
    <row r="115" ht="60" customHeight="1" x14ac:dyDescent="0.35"/>
    <row r="116" ht="60" customHeight="1" x14ac:dyDescent="0.35"/>
    <row r="117" ht="60" customHeight="1" x14ac:dyDescent="0.35"/>
    <row r="118" ht="60" customHeight="1" x14ac:dyDescent="0.35"/>
    <row r="119" ht="60" customHeight="1" x14ac:dyDescent="0.35"/>
    <row r="120" ht="60" customHeight="1" x14ac:dyDescent="0.35"/>
    <row r="121" ht="60" customHeight="1" x14ac:dyDescent="0.35"/>
    <row r="122" ht="60" customHeight="1" x14ac:dyDescent="0.35"/>
    <row r="123" ht="60" customHeight="1" x14ac:dyDescent="0.35"/>
    <row r="124" ht="60" customHeight="1" x14ac:dyDescent="0.35"/>
    <row r="125" ht="60" customHeight="1" x14ac:dyDescent="0.35"/>
    <row r="126" ht="60" customHeight="1" x14ac:dyDescent="0.35"/>
    <row r="127" ht="60" customHeight="1" x14ac:dyDescent="0.35"/>
    <row r="128" ht="60" customHeight="1" x14ac:dyDescent="0.35"/>
    <row r="129" ht="60" customHeight="1" x14ac:dyDescent="0.35"/>
    <row r="130" ht="60" customHeight="1" x14ac:dyDescent="0.35"/>
    <row r="131" ht="60" customHeight="1" x14ac:dyDescent="0.35"/>
    <row r="132" ht="60" customHeight="1" x14ac:dyDescent="0.35"/>
    <row r="133" ht="60" customHeight="1" x14ac:dyDescent="0.35"/>
    <row r="134" ht="60" customHeight="1" x14ac:dyDescent="0.35"/>
    <row r="135" ht="60" customHeight="1" x14ac:dyDescent="0.35"/>
    <row r="136" ht="60" customHeight="1" x14ac:dyDescent="0.35"/>
    <row r="137" ht="60" customHeight="1" x14ac:dyDescent="0.35"/>
    <row r="138" ht="60" customHeight="1" x14ac:dyDescent="0.35"/>
    <row r="139" ht="60" customHeight="1" x14ac:dyDescent="0.35"/>
    <row r="140" ht="60" customHeight="1" x14ac:dyDescent="0.35"/>
    <row r="141" ht="60" customHeight="1" x14ac:dyDescent="0.35"/>
    <row r="142" ht="60" customHeight="1" x14ac:dyDescent="0.35"/>
    <row r="143" ht="60" customHeight="1" x14ac:dyDescent="0.35"/>
    <row r="144" ht="60" customHeight="1" x14ac:dyDescent="0.35"/>
    <row r="145" ht="60" customHeight="1" x14ac:dyDescent="0.35"/>
    <row r="146" ht="60" customHeight="1" x14ac:dyDescent="0.35"/>
    <row r="147" ht="60" customHeight="1" x14ac:dyDescent="0.35"/>
    <row r="148" ht="60" customHeight="1" x14ac:dyDescent="0.35"/>
    <row r="149" ht="60" customHeight="1" x14ac:dyDescent="0.35"/>
    <row r="150" ht="60" customHeight="1" x14ac:dyDescent="0.35"/>
    <row r="151" ht="60" customHeight="1" x14ac:dyDescent="0.35"/>
    <row r="152" ht="60" customHeight="1" x14ac:dyDescent="0.35"/>
    <row r="153" ht="60" customHeight="1" x14ac:dyDescent="0.35"/>
    <row r="154" ht="60" customHeight="1" x14ac:dyDescent="0.35"/>
    <row r="155" ht="60" customHeight="1" x14ac:dyDescent="0.35"/>
    <row r="156" ht="60" customHeight="1" x14ac:dyDescent="0.35"/>
    <row r="157" ht="60" customHeight="1" x14ac:dyDescent="0.35"/>
    <row r="158" ht="60" customHeight="1" x14ac:dyDescent="0.35"/>
    <row r="159" ht="60" customHeight="1" x14ac:dyDescent="0.35"/>
    <row r="160" ht="60" customHeight="1" x14ac:dyDescent="0.35"/>
    <row r="161" ht="60" customHeight="1" x14ac:dyDescent="0.35"/>
    <row r="162" ht="60" customHeight="1" x14ac:dyDescent="0.35"/>
    <row r="163" ht="60" customHeight="1" x14ac:dyDescent="0.35"/>
    <row r="164" ht="60" customHeight="1" x14ac:dyDescent="0.35"/>
    <row r="165" ht="60" customHeight="1" x14ac:dyDescent="0.35"/>
    <row r="166" ht="60" customHeight="1" x14ac:dyDescent="0.35"/>
    <row r="167" ht="60" customHeight="1" x14ac:dyDescent="0.35"/>
    <row r="168" ht="60" customHeight="1" x14ac:dyDescent="0.35"/>
    <row r="169" ht="60" customHeight="1" x14ac:dyDescent="0.35"/>
    <row r="170" ht="60" customHeight="1" x14ac:dyDescent="0.35"/>
    <row r="171" ht="60" customHeight="1" x14ac:dyDescent="0.35"/>
    <row r="172" ht="60" customHeight="1" x14ac:dyDescent="0.35"/>
    <row r="173" ht="60" customHeight="1" x14ac:dyDescent="0.35"/>
    <row r="174" ht="60" customHeight="1" x14ac:dyDescent="0.35"/>
    <row r="175" ht="60" customHeight="1" x14ac:dyDescent="0.35"/>
    <row r="176" ht="60" customHeight="1" x14ac:dyDescent="0.35"/>
    <row r="177" ht="60" customHeight="1" x14ac:dyDescent="0.35"/>
    <row r="178" ht="60" customHeight="1" x14ac:dyDescent="0.35"/>
    <row r="179" ht="60" customHeight="1" x14ac:dyDescent="0.35"/>
    <row r="180" ht="60" customHeight="1" x14ac:dyDescent="0.35"/>
    <row r="181" ht="60" customHeight="1" x14ac:dyDescent="0.35"/>
    <row r="182" ht="60" customHeight="1" x14ac:dyDescent="0.35"/>
    <row r="183" ht="60" customHeight="1" x14ac:dyDescent="0.35"/>
    <row r="184" ht="60" customHeight="1" x14ac:dyDescent="0.35"/>
    <row r="185" ht="60" customHeight="1" x14ac:dyDescent="0.35"/>
    <row r="186" ht="60" customHeight="1" x14ac:dyDescent="0.35"/>
    <row r="187" ht="60" customHeight="1" x14ac:dyDescent="0.35"/>
    <row r="188" ht="60" customHeight="1" x14ac:dyDescent="0.35"/>
    <row r="189" ht="60" customHeight="1" x14ac:dyDescent="0.35"/>
    <row r="190" ht="60" customHeight="1" x14ac:dyDescent="0.35"/>
    <row r="191" ht="60" customHeight="1" x14ac:dyDescent="0.35"/>
    <row r="192" ht="60" customHeight="1" x14ac:dyDescent="0.35"/>
    <row r="193" ht="60" customHeight="1" x14ac:dyDescent="0.35"/>
    <row r="194" ht="60" customHeight="1" x14ac:dyDescent="0.35"/>
    <row r="195" ht="60" customHeight="1" x14ac:dyDescent="0.35"/>
    <row r="196" ht="60" customHeight="1" x14ac:dyDescent="0.35"/>
    <row r="197" ht="60" customHeight="1" x14ac:dyDescent="0.35"/>
    <row r="198" ht="60" customHeight="1" x14ac:dyDescent="0.35"/>
    <row r="199" ht="60" customHeight="1" x14ac:dyDescent="0.35"/>
    <row r="200" ht="60" customHeight="1" x14ac:dyDescent="0.35"/>
    <row r="201" ht="60" customHeight="1" x14ac:dyDescent="0.35"/>
    <row r="202" ht="60" customHeight="1" x14ac:dyDescent="0.35"/>
    <row r="203" ht="60" customHeight="1" x14ac:dyDescent="0.35"/>
    <row r="204" ht="60" customHeight="1" x14ac:dyDescent="0.35"/>
    <row r="205" ht="60" customHeight="1" x14ac:dyDescent="0.35"/>
    <row r="206" ht="60" customHeight="1" x14ac:dyDescent="0.35"/>
    <row r="207" ht="60" customHeight="1" x14ac:dyDescent="0.35"/>
    <row r="208" ht="60" customHeight="1" x14ac:dyDescent="0.35"/>
    <row r="209" ht="60" customHeight="1" x14ac:dyDescent="0.35"/>
    <row r="210" ht="60" customHeight="1" x14ac:dyDescent="0.35"/>
    <row r="211" ht="60" customHeight="1" x14ac:dyDescent="0.35"/>
    <row r="212" ht="60" customHeight="1" x14ac:dyDescent="0.35"/>
    <row r="213" ht="60" customHeight="1" x14ac:dyDescent="0.35"/>
    <row r="214" ht="60" customHeight="1" x14ac:dyDescent="0.35"/>
    <row r="215" ht="60" customHeight="1" x14ac:dyDescent="0.35"/>
    <row r="216" ht="60" customHeight="1" x14ac:dyDescent="0.35"/>
    <row r="217" ht="60" customHeight="1" x14ac:dyDescent="0.35"/>
    <row r="218" ht="60" customHeight="1" x14ac:dyDescent="0.35"/>
    <row r="219" ht="60" customHeight="1" x14ac:dyDescent="0.35"/>
    <row r="220" ht="60" customHeight="1" x14ac:dyDescent="0.35"/>
    <row r="221" ht="60" customHeight="1" x14ac:dyDescent="0.35"/>
    <row r="222" ht="60" customHeight="1" x14ac:dyDescent="0.35"/>
    <row r="223" ht="60" customHeight="1" x14ac:dyDescent="0.35"/>
    <row r="224" ht="60" customHeight="1" x14ac:dyDescent="0.35"/>
    <row r="225" ht="60" customHeight="1" x14ac:dyDescent="0.35"/>
    <row r="226" ht="60" customHeight="1" x14ac:dyDescent="0.35"/>
    <row r="227" ht="60" customHeight="1" x14ac:dyDescent="0.35"/>
    <row r="228" ht="60" customHeight="1" x14ac:dyDescent="0.35"/>
    <row r="229" ht="60" customHeight="1" x14ac:dyDescent="0.35"/>
    <row r="230" ht="60" customHeight="1" x14ac:dyDescent="0.35"/>
    <row r="231" ht="60" customHeight="1" x14ac:dyDescent="0.35"/>
    <row r="232" ht="60" customHeight="1" x14ac:dyDescent="0.35"/>
    <row r="233" ht="60" customHeight="1" x14ac:dyDescent="0.35"/>
    <row r="234" ht="60" customHeight="1" x14ac:dyDescent="0.35"/>
    <row r="235" ht="60" customHeight="1" x14ac:dyDescent="0.35"/>
    <row r="236" ht="60" customHeight="1" x14ac:dyDescent="0.35"/>
    <row r="237" ht="60" customHeight="1" x14ac:dyDescent="0.35"/>
    <row r="238" ht="60" customHeight="1" x14ac:dyDescent="0.35"/>
    <row r="239" ht="60" customHeight="1" x14ac:dyDescent="0.35"/>
    <row r="240" ht="60" customHeight="1" x14ac:dyDescent="0.35"/>
    <row r="241" ht="60" customHeight="1" x14ac:dyDescent="0.35"/>
    <row r="242" ht="60" customHeight="1" x14ac:dyDescent="0.35"/>
    <row r="243" ht="60" customHeight="1" x14ac:dyDescent="0.35"/>
    <row r="244" ht="60" customHeight="1" x14ac:dyDescent="0.35"/>
    <row r="245" ht="60" customHeight="1" x14ac:dyDescent="0.35"/>
    <row r="246" ht="60" customHeight="1" x14ac:dyDescent="0.35"/>
    <row r="247" ht="60" customHeight="1" x14ac:dyDescent="0.35"/>
    <row r="248" ht="60" customHeight="1" x14ac:dyDescent="0.35"/>
    <row r="249" ht="60" customHeight="1" x14ac:dyDescent="0.35"/>
    <row r="250" ht="60" customHeight="1" x14ac:dyDescent="0.35"/>
    <row r="251" ht="60" customHeight="1" x14ac:dyDescent="0.35"/>
    <row r="252" ht="60" customHeight="1" x14ac:dyDescent="0.35"/>
    <row r="253" ht="60" customHeight="1" x14ac:dyDescent="0.35"/>
    <row r="254" ht="60" customHeight="1" x14ac:dyDescent="0.35"/>
    <row r="255" ht="60" customHeight="1" x14ac:dyDescent="0.35"/>
    <row r="256" ht="60" customHeight="1" x14ac:dyDescent="0.35"/>
    <row r="257" ht="60" customHeight="1" x14ac:dyDescent="0.35"/>
    <row r="258" ht="60" customHeight="1" x14ac:dyDescent="0.35"/>
    <row r="259" ht="60" customHeight="1" x14ac:dyDescent="0.35"/>
    <row r="260" ht="60" customHeight="1" x14ac:dyDescent="0.35"/>
    <row r="261" ht="60" customHeight="1" x14ac:dyDescent="0.35"/>
    <row r="262" ht="60" customHeight="1" x14ac:dyDescent="0.35"/>
    <row r="263" ht="60" customHeight="1" x14ac:dyDescent="0.35"/>
    <row r="264" ht="60" customHeight="1" x14ac:dyDescent="0.35"/>
    <row r="265" ht="60" customHeight="1" x14ac:dyDescent="0.35"/>
    <row r="266" ht="60" customHeight="1" x14ac:dyDescent="0.35"/>
    <row r="267" ht="60" customHeight="1" x14ac:dyDescent="0.35"/>
    <row r="268" ht="60" customHeight="1" x14ac:dyDescent="0.35"/>
    <row r="269" ht="60" customHeight="1" x14ac:dyDescent="0.35"/>
    <row r="270" ht="60" customHeight="1" x14ac:dyDescent="0.35"/>
    <row r="271" ht="60" customHeight="1" x14ac:dyDescent="0.35"/>
    <row r="272" ht="60" customHeight="1" x14ac:dyDescent="0.35"/>
    <row r="273" ht="60" customHeight="1" x14ac:dyDescent="0.35"/>
    <row r="274" ht="60" customHeight="1" x14ac:dyDescent="0.35"/>
    <row r="275" ht="60" customHeight="1" x14ac:dyDescent="0.35"/>
    <row r="276" ht="60" customHeight="1" x14ac:dyDescent="0.35"/>
    <row r="277" ht="60" customHeight="1" x14ac:dyDescent="0.35"/>
    <row r="278" ht="60" customHeight="1" x14ac:dyDescent="0.35"/>
    <row r="279" ht="60" customHeight="1" x14ac:dyDescent="0.35"/>
    <row r="280" ht="60" customHeight="1" x14ac:dyDescent="0.35"/>
    <row r="281" ht="60" customHeight="1" x14ac:dyDescent="0.35"/>
    <row r="282" ht="60" customHeight="1" x14ac:dyDescent="0.35"/>
    <row r="283" ht="60" customHeight="1" x14ac:dyDescent="0.35"/>
    <row r="284" ht="60" customHeight="1" x14ac:dyDescent="0.35"/>
    <row r="285" ht="60" customHeight="1" x14ac:dyDescent="0.35"/>
    <row r="286" ht="60" customHeight="1" x14ac:dyDescent="0.35"/>
    <row r="287" ht="60" customHeight="1" x14ac:dyDescent="0.35"/>
    <row r="288" ht="60" customHeight="1" x14ac:dyDescent="0.35"/>
    <row r="289" ht="60" customHeight="1" x14ac:dyDescent="0.35"/>
    <row r="290" ht="60" customHeight="1" x14ac:dyDescent="0.35"/>
    <row r="291" ht="60" customHeight="1" x14ac:dyDescent="0.35"/>
    <row r="292" ht="60" customHeight="1" x14ac:dyDescent="0.35"/>
    <row r="293" ht="60" customHeight="1" x14ac:dyDescent="0.35"/>
    <row r="294" ht="60" customHeight="1" x14ac:dyDescent="0.35"/>
    <row r="295" ht="60" customHeight="1" x14ac:dyDescent="0.35"/>
    <row r="296" ht="60" customHeight="1" x14ac:dyDescent="0.35"/>
    <row r="297" ht="60" customHeight="1" x14ac:dyDescent="0.35"/>
    <row r="298" ht="60" customHeight="1" x14ac:dyDescent="0.35"/>
    <row r="299" ht="60" customHeight="1" x14ac:dyDescent="0.35"/>
    <row r="300" ht="60" customHeight="1" x14ac:dyDescent="0.35"/>
    <row r="301" ht="60" customHeight="1" x14ac:dyDescent="0.35"/>
    <row r="302" ht="60" customHeight="1" x14ac:dyDescent="0.35"/>
    <row r="303" ht="60" customHeight="1" x14ac:dyDescent="0.35"/>
    <row r="304" ht="60" customHeight="1" x14ac:dyDescent="0.35"/>
    <row r="305" ht="60" customHeight="1" x14ac:dyDescent="0.35"/>
    <row r="306" ht="60" customHeight="1" x14ac:dyDescent="0.35"/>
    <row r="307" ht="60" customHeight="1" x14ac:dyDescent="0.35"/>
    <row r="308" ht="60" customHeight="1" x14ac:dyDescent="0.35"/>
    <row r="309" ht="60" customHeight="1" x14ac:dyDescent="0.35"/>
    <row r="310" ht="60" customHeight="1" x14ac:dyDescent="0.35"/>
    <row r="311" ht="60" customHeight="1" x14ac:dyDescent="0.35"/>
    <row r="312" ht="60" customHeight="1" x14ac:dyDescent="0.35"/>
    <row r="313" ht="60" customHeight="1" x14ac:dyDescent="0.35"/>
    <row r="314" ht="60" customHeight="1" x14ac:dyDescent="0.35"/>
    <row r="315" ht="60" customHeight="1" x14ac:dyDescent="0.35"/>
    <row r="316" ht="60" customHeight="1" x14ac:dyDescent="0.35"/>
    <row r="317" ht="60" customHeight="1" x14ac:dyDescent="0.35"/>
    <row r="318" ht="60" customHeight="1" x14ac:dyDescent="0.35"/>
    <row r="319" ht="60" customHeight="1" x14ac:dyDescent="0.35"/>
    <row r="320" ht="60" customHeight="1" x14ac:dyDescent="0.35"/>
    <row r="321" ht="60" customHeight="1" x14ac:dyDescent="0.35"/>
    <row r="322" ht="60" customHeight="1" x14ac:dyDescent="0.35"/>
    <row r="323" ht="60" customHeight="1" x14ac:dyDescent="0.35"/>
    <row r="324" ht="60" customHeight="1" x14ac:dyDescent="0.35"/>
    <row r="325" ht="60" customHeight="1" x14ac:dyDescent="0.35"/>
    <row r="326" ht="60" customHeight="1" x14ac:dyDescent="0.35"/>
    <row r="327" ht="60" customHeight="1" x14ac:dyDescent="0.35"/>
    <row r="328" ht="60" customHeight="1" x14ac:dyDescent="0.35"/>
    <row r="329" ht="60" customHeight="1" x14ac:dyDescent="0.35"/>
    <row r="330" ht="60" customHeight="1" x14ac:dyDescent="0.35"/>
    <row r="331" ht="60" customHeight="1" x14ac:dyDescent="0.35"/>
    <row r="332" ht="60" customHeight="1" x14ac:dyDescent="0.35"/>
    <row r="333" ht="60" customHeight="1" x14ac:dyDescent="0.35"/>
    <row r="334" ht="60" customHeight="1" x14ac:dyDescent="0.35"/>
    <row r="335" ht="60" customHeight="1" x14ac:dyDescent="0.35"/>
    <row r="336" ht="60" customHeight="1" x14ac:dyDescent="0.35"/>
    <row r="337" ht="60" customHeight="1" x14ac:dyDescent="0.35"/>
    <row r="338" ht="60" customHeight="1" x14ac:dyDescent="0.35"/>
    <row r="339" ht="60" customHeight="1" x14ac:dyDescent="0.35"/>
    <row r="340" ht="60" customHeight="1" x14ac:dyDescent="0.35"/>
    <row r="341" ht="60" customHeight="1" x14ac:dyDescent="0.35"/>
    <row r="342" ht="60" customHeight="1" x14ac:dyDescent="0.35"/>
    <row r="343" ht="60" customHeight="1" x14ac:dyDescent="0.35"/>
    <row r="344" ht="60" customHeight="1" x14ac:dyDescent="0.35"/>
    <row r="345" ht="60" customHeight="1" x14ac:dyDescent="0.35"/>
    <row r="346" ht="60" customHeight="1" x14ac:dyDescent="0.35"/>
    <row r="347" ht="60" customHeight="1" x14ac:dyDescent="0.35"/>
    <row r="348" ht="60" customHeight="1" x14ac:dyDescent="0.35"/>
    <row r="349" ht="60" customHeight="1" x14ac:dyDescent="0.35"/>
    <row r="350" ht="60" customHeight="1" x14ac:dyDescent="0.35"/>
    <row r="351" ht="60" customHeight="1" x14ac:dyDescent="0.35"/>
    <row r="352" ht="60" customHeight="1" x14ac:dyDescent="0.35"/>
    <row r="353" ht="60" customHeight="1" x14ac:dyDescent="0.35"/>
    <row r="354" ht="60" customHeight="1" x14ac:dyDescent="0.35"/>
    <row r="355" ht="60" customHeight="1" x14ac:dyDescent="0.35"/>
    <row r="356" ht="60" customHeight="1" x14ac:dyDescent="0.35"/>
    <row r="357" ht="60" customHeight="1" x14ac:dyDescent="0.35"/>
    <row r="358" ht="60" customHeight="1" x14ac:dyDescent="0.35"/>
    <row r="359" ht="60" customHeight="1" x14ac:dyDescent="0.35"/>
    <row r="360" ht="60" customHeight="1" x14ac:dyDescent="0.35"/>
    <row r="361" ht="60" customHeight="1" x14ac:dyDescent="0.35"/>
    <row r="362" ht="60" customHeight="1" x14ac:dyDescent="0.35"/>
    <row r="363" ht="60" customHeight="1" x14ac:dyDescent="0.35"/>
    <row r="364" ht="60" customHeight="1" x14ac:dyDescent="0.35"/>
    <row r="365" ht="60" customHeight="1" x14ac:dyDescent="0.35"/>
    <row r="366" ht="60" customHeight="1" x14ac:dyDescent="0.35"/>
    <row r="367" ht="60" customHeight="1" x14ac:dyDescent="0.35"/>
    <row r="368" ht="60" customHeight="1" x14ac:dyDescent="0.35"/>
    <row r="369" ht="60" customHeight="1" x14ac:dyDescent="0.35"/>
    <row r="370" ht="60" customHeight="1" x14ac:dyDescent="0.35"/>
    <row r="371" ht="60" customHeight="1" x14ac:dyDescent="0.35"/>
    <row r="372" ht="60" customHeight="1" x14ac:dyDescent="0.35"/>
    <row r="373" ht="60" customHeight="1" x14ac:dyDescent="0.35"/>
    <row r="374" ht="60" customHeight="1" x14ac:dyDescent="0.35"/>
    <row r="375" ht="60" customHeight="1" x14ac:dyDescent="0.35"/>
    <row r="376" ht="60" customHeight="1" x14ac:dyDescent="0.35"/>
    <row r="377" ht="60" customHeight="1" x14ac:dyDescent="0.35"/>
    <row r="378" ht="60" customHeight="1" x14ac:dyDescent="0.35"/>
    <row r="379" ht="60" customHeight="1" x14ac:dyDescent="0.35"/>
    <row r="380" ht="60" customHeight="1" x14ac:dyDescent="0.35"/>
    <row r="381" ht="60" customHeight="1" x14ac:dyDescent="0.35"/>
    <row r="382" ht="60" customHeight="1" x14ac:dyDescent="0.35"/>
    <row r="383" ht="60" customHeight="1" x14ac:dyDescent="0.35"/>
    <row r="384" ht="60" customHeight="1" x14ac:dyDescent="0.35"/>
    <row r="385" ht="60" customHeight="1" x14ac:dyDescent="0.35"/>
    <row r="386" ht="60" customHeight="1" x14ac:dyDescent="0.35"/>
    <row r="387" ht="60" customHeight="1" x14ac:dyDescent="0.35"/>
  </sheetData>
  <dataValidations count="2">
    <dataValidation type="list" allowBlank="1" error="Selecione um status válido" sqref="F2:F26" xr:uid="{00000000-0002-0000-0100-000000000000}">
      <formula1>"ABERTO,EM ANÁLISE,EM DESENVOLVIMENTO,AGUARDANDO VALIDAÇÃO,RESOLVIDO,REJEITADO,CANCELADO"</formula1>
    </dataValidation>
    <dataValidation type="list" allowBlank="1" error="Selecione um responsável válido" sqref="H2:H26" xr:uid="{00000000-0002-0000-0100-000001000000}">
      <formula1>"Marlus,marlusmello,VictorMiguel,GuilhermeLima,inaciobrazil,ODM,Ztech"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/>
  </sheetViews>
  <sheetFormatPr defaultRowHeight="14.5" x14ac:dyDescent="0.35"/>
  <cols>
    <col min="1" max="1" width="25" customWidth="1"/>
    <col min="2" max="2" width="50" customWidth="1"/>
  </cols>
  <sheetData>
    <row r="1" spans="1:2" ht="15.5" x14ac:dyDescent="0.35">
      <c r="A1" s="14" t="s">
        <v>69</v>
      </c>
      <c r="B1" s="13"/>
    </row>
    <row r="2" spans="1:2" x14ac:dyDescent="0.35">
      <c r="A2" s="11" t="s">
        <v>23</v>
      </c>
      <c r="B2" t="s">
        <v>70</v>
      </c>
    </row>
    <row r="3" spans="1:2" x14ac:dyDescent="0.35">
      <c r="A3" s="11" t="s">
        <v>3</v>
      </c>
      <c r="B3" t="s">
        <v>71</v>
      </c>
    </row>
    <row r="4" spans="1:2" x14ac:dyDescent="0.35">
      <c r="A4" s="11" t="s">
        <v>72</v>
      </c>
      <c r="B4" t="s">
        <v>73</v>
      </c>
    </row>
    <row r="5" spans="1:2" x14ac:dyDescent="0.35">
      <c r="A5" s="11" t="s">
        <v>74</v>
      </c>
      <c r="B5" t="s">
        <v>75</v>
      </c>
    </row>
    <row r="6" spans="1:2" x14ac:dyDescent="0.35">
      <c r="A6" s="11" t="s">
        <v>41</v>
      </c>
      <c r="B6" t="s">
        <v>76</v>
      </c>
    </row>
    <row r="7" spans="1:2" x14ac:dyDescent="0.35">
      <c r="A7" s="11" t="s">
        <v>77</v>
      </c>
      <c r="B7" t="s">
        <v>78</v>
      </c>
    </row>
    <row r="8" spans="1:2" x14ac:dyDescent="0.35">
      <c r="A8" s="11" t="s">
        <v>79</v>
      </c>
      <c r="B8" t="s">
        <v>80</v>
      </c>
    </row>
    <row r="10" spans="1:2" ht="15.5" x14ac:dyDescent="0.35">
      <c r="A10" s="14" t="s">
        <v>81</v>
      </c>
      <c r="B10" s="13"/>
    </row>
    <row r="11" spans="1:2" x14ac:dyDescent="0.35">
      <c r="A11" s="11" t="s">
        <v>82</v>
      </c>
      <c r="B11" t="s">
        <v>83</v>
      </c>
    </row>
    <row r="12" spans="1:2" x14ac:dyDescent="0.35">
      <c r="A12" s="11" t="s">
        <v>32</v>
      </c>
      <c r="B12" t="s">
        <v>83</v>
      </c>
    </row>
    <row r="13" spans="1:2" x14ac:dyDescent="0.35">
      <c r="A13" s="11" t="s">
        <v>24</v>
      </c>
      <c r="B13" t="s">
        <v>84</v>
      </c>
    </row>
    <row r="14" spans="1:2" x14ac:dyDescent="0.35">
      <c r="A14" s="11" t="s">
        <v>62</v>
      </c>
      <c r="B14" t="s">
        <v>84</v>
      </c>
    </row>
    <row r="15" spans="1:2" x14ac:dyDescent="0.35">
      <c r="A15" s="11" t="s">
        <v>59</v>
      </c>
      <c r="B15" t="s">
        <v>84</v>
      </c>
    </row>
    <row r="16" spans="1:2" x14ac:dyDescent="0.35">
      <c r="A16" s="11" t="s">
        <v>85</v>
      </c>
      <c r="B16" t="s">
        <v>86</v>
      </c>
    </row>
    <row r="17" spans="1:2" x14ac:dyDescent="0.35">
      <c r="A17" s="11" t="s">
        <v>87</v>
      </c>
      <c r="B17" t="s">
        <v>88</v>
      </c>
    </row>
  </sheetData>
  <mergeCells count="2">
    <mergeCell ref="A10:B10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DASHBOARD</vt:lpstr>
      <vt:lpstr>ISSUES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Marlus Luiz Pereira De Mello</cp:lastModifiedBy>
  <dcterms:created xsi:type="dcterms:W3CDTF">2026-06-01T20:42:22Z</dcterms:created>
  <dcterms:modified xsi:type="dcterms:W3CDTF">2026-06-01T23:35:28Z</dcterms:modified>
</cp:coreProperties>
</file>