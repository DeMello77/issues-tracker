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yyyy-mm-dd h:mm:ss"/>
  </numFmts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b val="1"/>
      <sz val="14"/>
    </font>
    <font>
      <b val="1"/>
      <color rgb="00FF9800"/>
      <sz val="14"/>
    </font>
    <font>
      <b val="1"/>
      <color rgb="00008000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EB3B"/>
        <bgColor rgb="00FFEB3B"/>
      </patternFill>
    </fill>
    <fill>
      <patternFill patternType="solid">
        <fgColor rgb="00FFCCCB"/>
        <bgColor rgb="00FFCCC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164" fontId="3" fillId="3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T3010DW - ISSUES DASHBOARD</t>
        </is>
      </c>
    </row>
    <row r="3">
      <c r="A3" s="2" t="inlineStr">
        <is>
          <t>TOTAL DE ISSUES</t>
        </is>
      </c>
      <c r="B3" s="3">
        <f>COUNTA(ISSUES!A2:A26)</f>
        <v/>
      </c>
    </row>
    <row r="4">
      <c r="A4" s="2" t="inlineStr">
        <is>
          <t>ABERTOS</t>
        </is>
      </c>
      <c r="B4" s="4">
        <f>COUNTIF(ISSUES!F2:F26,"ABERTO")</f>
        <v/>
      </c>
    </row>
    <row r="5">
      <c r="A5" s="2" t="inlineStr">
        <is>
          <t>EM ANÁLISE</t>
        </is>
      </c>
      <c r="B5" s="3">
        <f>COUNTIF(ISSUES!F2:F26,"EM ANÁLISE")</f>
        <v/>
      </c>
    </row>
    <row r="6">
      <c r="A6" s="2" t="inlineStr">
        <is>
          <t>RESOLVIDOS</t>
        </is>
      </c>
      <c r="B6" s="5">
        <f>COUNTIF(ISSUES!F2:F26,"RESOLVIDO")</f>
        <v/>
      </c>
    </row>
    <row r="7">
      <c r="A7" s="2" t="inlineStr">
        <is>
          <t>TAXA RESOLUÇÃO (%)</t>
        </is>
      </c>
      <c r="B7" s="6">
        <f>IF(B3=0,0,ROUND((B6/B3)*100,1))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5" customWidth="1" min="4" max="4"/>
    <col width="40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7" t="inlineStr">
        <is>
          <t>ID</t>
        </is>
      </c>
      <c r="B1" s="7" t="inlineStr">
        <is>
          <t>Prioridade</t>
        </is>
      </c>
      <c r="C1" s="7" t="inlineStr">
        <is>
          <t>Tipo</t>
        </is>
      </c>
      <c r="D1" s="7" t="inlineStr">
        <is>
          <t>Categoria</t>
        </is>
      </c>
      <c r="E1" s="7" t="inlineStr">
        <is>
          <t>Sumário</t>
        </is>
      </c>
      <c r="F1" s="7" t="inlineStr">
        <is>
          <t>Status</t>
        </is>
      </c>
      <c r="G1" s="7" t="inlineStr">
        <is>
          <t>Data Aberta</t>
        </is>
      </c>
      <c r="H1" s="7" t="inlineStr">
        <is>
          <t>Responsável</t>
        </is>
      </c>
      <c r="I1" s="7" t="inlineStr">
        <is>
          <t>Versão Reportada</t>
        </is>
      </c>
      <c r="J1" s="7" t="inlineStr">
        <is>
          <t>Versão Fix</t>
        </is>
      </c>
      <c r="K1" s="7" t="inlineStr">
        <is>
          <t>Raiz</t>
        </is>
      </c>
      <c r="L1" s="7" t="inlineStr">
        <is>
          <t>Teste Validação</t>
        </is>
      </c>
      <c r="M1" s="7" t="inlineStr">
        <is>
          <t>Comentário Marlus</t>
        </is>
      </c>
      <c r="N1" s="7" t="inlineStr">
        <is>
          <t>Comentário ODM</t>
        </is>
      </c>
      <c r="O1" s="7" t="inlineStr">
        <is>
          <t>Comentário Ztech</t>
        </is>
      </c>
      <c r="P1" s="7" t="inlineStr">
        <is>
          <t>Data Fechamento</t>
        </is>
      </c>
      <c r="Q1" s="7" t="inlineStr">
        <is>
          <t>OK/NOK Final</t>
        </is>
      </c>
    </row>
    <row r="2">
      <c r="A2" t="n">
        <v>29814</v>
      </c>
      <c r="B2" t="inlineStr">
        <is>
          <t>Normal</t>
        </is>
      </c>
      <c r="C2" t="inlineStr">
        <is>
          <t>SW</t>
        </is>
      </c>
      <c r="D2" t="inlineStr">
        <is>
          <t>CAMERA</t>
        </is>
      </c>
      <c r="E2" t="inlineStr">
        <is>
          <t>[T3010W] [AND16] [CAMERA] Missed information camera settings</t>
        </is>
      </c>
      <c r="F2" s="8" t="inlineStr">
        <is>
          <t>ABERTO</t>
        </is>
      </c>
      <c r="G2" s="9" t="n">
        <v>46164</v>
      </c>
      <c r="H2" t="inlineStr">
        <is>
          <t>VictorMiguel</t>
        </is>
      </c>
      <c r="I2" t="inlineStr">
        <is>
          <t>T3010DW.URBR2026051901U.pro.u_pk_s_v0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NOK</t>
        </is>
      </c>
    </row>
    <row r="3">
      <c r="A3" t="n">
        <v>29813</v>
      </c>
      <c r="B3" t="inlineStr">
        <is>
          <t>High</t>
        </is>
      </c>
      <c r="C3" t="inlineStr">
        <is>
          <t>SW</t>
        </is>
      </c>
      <c r="D3" t="inlineStr">
        <is>
          <t>CAMERA</t>
        </is>
      </c>
      <c r="E3" t="inlineStr">
        <is>
          <t>[T3010W] [AND16] [CAMERA] Dark stripes on front and rear camera</t>
        </is>
      </c>
      <c r="F3" s="8" t="inlineStr">
        <is>
          <t>ABERTO</t>
        </is>
      </c>
      <c r="G3" s="9" t="n">
        <v>46164</v>
      </c>
      <c r="H3" t="inlineStr">
        <is>
          <t>VictorMiguel</t>
        </is>
      </c>
      <c r="I3" t="inlineStr">
        <is>
          <t>T3010DW.URBR2026051901U.pro.u_pk_s_v0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NOK</t>
        </is>
      </c>
    </row>
    <row r="4">
      <c r="A4" t="n">
        <v>29816</v>
      </c>
      <c r="B4" t="inlineStr">
        <is>
          <t>High</t>
        </is>
      </c>
      <c r="C4" t="inlineStr">
        <is>
          <t>HW</t>
        </is>
      </c>
      <c r="D4" t="inlineStr">
        <is>
          <t>HW VERIFICATION</t>
        </is>
      </c>
      <c r="E4" t="inlineStr">
        <is>
          <t>[T3010W] [AND16] [HW VERIFICATION] Performance</t>
        </is>
      </c>
      <c r="F4" s="8" t="inlineStr">
        <is>
          <t>ABERTO</t>
        </is>
      </c>
      <c r="G4" s="9" t="n">
        <v>46167</v>
      </c>
      <c r="H4" t="inlineStr">
        <is>
          <t>marlusmello</t>
        </is>
      </c>
      <c r="I4" t="inlineStr">
        <is>
          <t>T3010DW.URBR2026051901U.pro.u_pk_s_v0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NOK</t>
        </is>
      </c>
    </row>
    <row r="5">
      <c r="A5" t="n">
        <v>29817</v>
      </c>
      <c r="B5" s="10" t="inlineStr">
        <is>
          <t>Urgent</t>
        </is>
      </c>
      <c r="C5" t="inlineStr">
        <is>
          <t>HW</t>
        </is>
      </c>
      <c r="D5" t="inlineStr">
        <is>
          <t>HW VERIFICATION</t>
        </is>
      </c>
      <c r="E5" t="inlineStr">
        <is>
          <t>[T3010W] [AND16] [HW VERIFICATION] LCD</t>
        </is>
      </c>
      <c r="F5" s="8" t="inlineStr">
        <is>
          <t>ABERTO</t>
        </is>
      </c>
      <c r="G5" s="9" t="n">
        <v>46167</v>
      </c>
      <c r="H5" t="inlineStr">
        <is>
          <t>marlusmello</t>
        </is>
      </c>
      <c r="I5" t="inlineStr">
        <is>
          <t>T3010DW.URBR2026051901U.pro.u_pk_s_v0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NOK</t>
        </is>
      </c>
    </row>
    <row r="6">
      <c r="A6" t="n">
        <v>29820</v>
      </c>
      <c r="B6" s="10" t="inlineStr">
        <is>
          <t>immediate</t>
        </is>
      </c>
      <c r="C6" t="inlineStr">
        <is>
          <t>SW</t>
        </is>
      </c>
      <c r="D6" t="inlineStr">
        <is>
          <t>SW VERIFICATION</t>
        </is>
      </c>
      <c r="E6" t="inlineStr">
        <is>
          <t>[T3010W] [AND16] [SW VERIFICATION] AwLog presents continuous failures when processing log code with special operators in T3010DW</t>
        </is>
      </c>
      <c r="F6" s="8" t="inlineStr">
        <is>
          <t>ABERTO</t>
        </is>
      </c>
      <c r="G6" s="9" t="n">
        <v>46167</v>
      </c>
      <c r="H6" t="inlineStr">
        <is>
          <t>marlusmello</t>
        </is>
      </c>
      <c r="I6" t="inlineStr">
        <is>
          <t>T3010DW.URBR2026051901U.pro.u_pk_s_v0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NOK</t>
        </is>
      </c>
    </row>
    <row r="7">
      <c r="A7" t="n">
        <v>29821</v>
      </c>
      <c r="B7" s="10" t="inlineStr">
        <is>
          <t>urgent</t>
        </is>
      </c>
      <c r="C7" t="inlineStr">
        <is>
          <t>SW</t>
        </is>
      </c>
      <c r="D7" t="inlineStr">
        <is>
          <t>SW VERIFICATION</t>
        </is>
      </c>
      <c r="E7" t="inlineStr">
        <is>
          <t>[T3010W] [AND16] [SW VERIFICATION] Device not recognized on computer in T3010DW</t>
        </is>
      </c>
      <c r="F7" s="8" t="inlineStr">
        <is>
          <t>ABERTO</t>
        </is>
      </c>
      <c r="G7" s="9" t="n">
        <v>46167</v>
      </c>
      <c r="H7" t="inlineStr">
        <is>
          <t>marlusmello</t>
        </is>
      </c>
      <c r="I7" t="inlineStr">
        <is>
          <t>T3010DW.URBR2026051901U.pro.u_pk_s_v0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NOK</t>
        </is>
      </c>
    </row>
    <row r="8">
      <c r="A8" t="n">
        <v>29829</v>
      </c>
      <c r="B8" t="inlineStr">
        <is>
          <t>High</t>
        </is>
      </c>
      <c r="C8" t="inlineStr">
        <is>
          <t>SW</t>
        </is>
      </c>
      <c r="D8" t="inlineStr">
        <is>
          <t>SW VERIFICATION</t>
        </is>
      </c>
      <c r="E8" t="inlineStr">
        <is>
          <t>[T3010W] [AND16] [SW VERIFICATION] Virtual keyboard does not render in full screen - split layout in T3010DW</t>
        </is>
      </c>
      <c r="F8" s="11" t="inlineStr">
        <is>
          <t>RESOLVIDO</t>
        </is>
      </c>
      <c r="G8" s="9" t="n">
        <v>46167</v>
      </c>
      <c r="H8" t="inlineStr">
        <is>
          <t>marlusmello</t>
        </is>
      </c>
      <c r="I8" t="inlineStr">
        <is>
          <t>T3010DW.URBR2026051901U.pro.u_pk_s_v0</t>
        </is>
      </c>
      <c r="J8" t="inlineStr">
        <is>
          <t>T3010DW.URBR2026060101U.pro.u_pk_s_v0</t>
        </is>
      </c>
      <c r="K8" t="inlineStr"/>
      <c r="L8" t="inlineStr"/>
      <c r="M8" t="inlineStr"/>
      <c r="N8" t="inlineStr"/>
      <c r="O8" t="inlineStr"/>
      <c r="P8" s="9" t="n">
        <v>46167</v>
      </c>
      <c r="Q8" t="inlineStr">
        <is>
          <t>OK</t>
        </is>
      </c>
    </row>
    <row r="9">
      <c r="A9" t="n">
        <v>29830</v>
      </c>
      <c r="B9" t="inlineStr">
        <is>
          <t>High</t>
        </is>
      </c>
      <c r="C9" t="inlineStr">
        <is>
          <t>SW</t>
        </is>
      </c>
      <c r="D9" t="inlineStr">
        <is>
          <t>SW VERIFICATION</t>
        </is>
      </c>
      <c r="E9" t="inlineStr">
        <is>
          <t>[T3010W] [AND16] [SW VERIFICATION] Initial setup screen displays incorrect message "computer" instead of "tablet"</t>
        </is>
      </c>
      <c r="F9" s="11" t="inlineStr">
        <is>
          <t>RESOLVIDO</t>
        </is>
      </c>
      <c r="G9" s="9" t="n">
        <v>46167</v>
      </c>
      <c r="H9" t="inlineStr">
        <is>
          <t>marlusmello</t>
        </is>
      </c>
      <c r="I9" t="inlineStr">
        <is>
          <t>T3010DW.URBR2026051901U.pro.u_pk_s_v0</t>
        </is>
      </c>
      <c r="J9" t="inlineStr">
        <is>
          <t>T3010DW.URBR2026060101U.pro.u_pk_s_v0</t>
        </is>
      </c>
      <c r="K9" t="inlineStr"/>
      <c r="L9" t="inlineStr"/>
      <c r="M9" t="inlineStr"/>
      <c r="N9" t="inlineStr"/>
      <c r="O9" t="inlineStr"/>
      <c r="P9" s="9" t="n">
        <v>46167</v>
      </c>
      <c r="Q9" t="inlineStr">
        <is>
          <t>OK</t>
        </is>
      </c>
    </row>
    <row r="10">
      <c r="A10" t="n">
        <v>29875</v>
      </c>
      <c r="B10" t="inlineStr">
        <is>
          <t>normal</t>
        </is>
      </c>
      <c r="C10" t="inlineStr">
        <is>
          <t>SW</t>
        </is>
      </c>
      <c r="D10" t="inlineStr">
        <is>
          <t>SW VERIFICATION</t>
        </is>
      </c>
      <c r="E10" t="inlineStr">
        <is>
          <t>[T3010W] [AND16] [SW VERIFICATION] Auto-brightness disabled by default on factory settings</t>
        </is>
      </c>
      <c r="F10" s="8" t="inlineStr">
        <is>
          <t>ABERTO</t>
        </is>
      </c>
      <c r="G10" s="9" t="n">
        <v>46174</v>
      </c>
      <c r="H10" t="inlineStr">
        <is>
          <t>marlusmello</t>
        </is>
      </c>
      <c r="I10" t="inlineStr">
        <is>
          <t>T3010DW.URBR2026060101U.pro.u_pk_s_v0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NOK</t>
        </is>
      </c>
    </row>
    <row r="11">
      <c r="A11" t="n">
        <v>29874</v>
      </c>
      <c r="B11" t="inlineStr">
        <is>
          <t>normal</t>
        </is>
      </c>
      <c r="C11" t="inlineStr">
        <is>
          <t>SW</t>
        </is>
      </c>
      <c r="D11" t="inlineStr">
        <is>
          <t>SW VERIFICATION</t>
        </is>
      </c>
      <c r="E11" t="inlineStr">
        <is>
          <t>[T3010W] [AND16] [SW VERIFICATION] Auto-rotation disabled by default on factory settings</t>
        </is>
      </c>
      <c r="F11" s="8" t="inlineStr">
        <is>
          <t>ABERTO</t>
        </is>
      </c>
      <c r="G11" s="9" t="n">
        <v>46174</v>
      </c>
      <c r="H11" t="inlineStr">
        <is>
          <t>marlusmello</t>
        </is>
      </c>
      <c r="I11" t="inlineStr">
        <is>
          <t>T3010DW.URBR2026060101U.pro.u_pk_s_v0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NOK</t>
        </is>
      </c>
    </row>
    <row r="12">
      <c r="A12" t="n">
        <v>29822</v>
      </c>
      <c r="B12" t="inlineStr">
        <is>
          <t>low</t>
        </is>
      </c>
      <c r="C12" t="inlineStr">
        <is>
          <t>SW</t>
        </is>
      </c>
      <c r="D12" t="inlineStr">
        <is>
          <t>OTHER</t>
        </is>
      </c>
      <c r="E12" t="inlineStr">
        <is>
          <t>[T3010DW][AND 16][Exploratory] Dock remains visible in Camera app instead of full-screen mode</t>
        </is>
      </c>
      <c r="F12" s="8" t="inlineStr">
        <is>
          <t>ABERTO</t>
        </is>
      </c>
      <c r="G12" s="9" t="n">
        <v>46167</v>
      </c>
      <c r="H12" t="inlineStr">
        <is>
          <t>VictorMiguel</t>
        </is>
      </c>
      <c r="I12" t="inlineStr">
        <is>
          <t>T3010DW.OPEN.URBR_2026051901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NOK</t>
        </is>
      </c>
    </row>
    <row r="13">
      <c r="A13" t="n">
        <v>29823</v>
      </c>
      <c r="B13" t="inlineStr">
        <is>
          <t>High</t>
        </is>
      </c>
      <c r="C13" t="inlineStr">
        <is>
          <t>SW</t>
        </is>
      </c>
      <c r="D13" t="inlineStr">
        <is>
          <t>OTHER</t>
        </is>
      </c>
      <c r="E13" t="inlineStr">
        <is>
          <t>T3010DW][AND 16][Exploratory] The camera app settings are not translated correctly.</t>
        </is>
      </c>
      <c r="F13" s="8" t="inlineStr">
        <is>
          <t>ABERTO</t>
        </is>
      </c>
      <c r="G13" s="9" t="n">
        <v>46167</v>
      </c>
      <c r="H13" t="inlineStr">
        <is>
          <t>VictorMiguel</t>
        </is>
      </c>
      <c r="I13" t="inlineStr">
        <is>
          <t>T3010DW.OPEN.URBR_2026051901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NOK</t>
        </is>
      </c>
    </row>
    <row r="14">
      <c r="A14" t="n">
        <v>29824</v>
      </c>
      <c r="B14" t="inlineStr">
        <is>
          <t>low</t>
        </is>
      </c>
      <c r="C14" t="inlineStr">
        <is>
          <t>SW</t>
        </is>
      </c>
      <c r="D14" t="inlineStr">
        <is>
          <t>OTHER</t>
        </is>
      </c>
      <c r="E14" t="inlineStr">
        <is>
          <t>[T3010DW][AND 16][Exploratory] Adding Shortcuts to the Lock Screen</t>
        </is>
      </c>
      <c r="F14" s="8" t="inlineStr">
        <is>
          <t>ABERTO</t>
        </is>
      </c>
      <c r="G14" t="inlineStr">
        <is>
          <t xml:space="preserve">	2026-05-25</t>
        </is>
      </c>
      <c r="H14" t="inlineStr">
        <is>
          <t>VictorMiguel</t>
        </is>
      </c>
      <c r="I14" t="inlineStr">
        <is>
          <t>T3010DW.OPEN.URBR_2026051901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NOK</t>
        </is>
      </c>
    </row>
    <row r="15">
      <c r="A15" t="n">
        <v>29825</v>
      </c>
      <c r="B15" t="inlineStr">
        <is>
          <t>High</t>
        </is>
      </c>
      <c r="C15" t="inlineStr">
        <is>
          <t>SW</t>
        </is>
      </c>
      <c r="D15" t="inlineStr">
        <is>
          <t>OTHER</t>
        </is>
      </c>
      <c r="E15" t="inlineStr">
        <is>
          <t>[T3010DW][AND 16][Exploratory] Error changing camera zoom.</t>
        </is>
      </c>
      <c r="F15" s="11" t="inlineStr">
        <is>
          <t>RESOLVIDO</t>
        </is>
      </c>
      <c r="G15" s="9" t="n">
        <v>46167</v>
      </c>
      <c r="H15" t="inlineStr">
        <is>
          <t>VictorMiguel</t>
        </is>
      </c>
      <c r="I15" t="inlineStr">
        <is>
          <t>T3010DW.OPEN.URBR_2026051901</t>
        </is>
      </c>
      <c r="J15" t="inlineStr">
        <is>
          <t>T3010DW.URBR2026060101U.pro.u_pk_s_v0</t>
        </is>
      </c>
      <c r="K15" t="inlineStr"/>
      <c r="L15" t="inlineStr"/>
      <c r="M15" t="inlineStr"/>
      <c r="N15" t="inlineStr"/>
      <c r="O15" t="inlineStr"/>
      <c r="P15" s="9" t="n">
        <v>46167</v>
      </c>
      <c r="Q15" t="inlineStr">
        <is>
          <t>OK</t>
        </is>
      </c>
    </row>
    <row r="16">
      <c r="A16" t="n">
        <v>29826</v>
      </c>
      <c r="B16" t="inlineStr">
        <is>
          <t>normal</t>
        </is>
      </c>
      <c r="C16" t="inlineStr">
        <is>
          <t>SW</t>
        </is>
      </c>
      <c r="D16" t="inlineStr">
        <is>
          <t>OTHER</t>
        </is>
      </c>
      <c r="E16" t="inlineStr">
        <is>
          <t>[T3010DW][AND 16][Exploratory] Incorrect date format in watermark (YYYY-MM-DD instead of DD-MM-YYYY)</t>
        </is>
      </c>
      <c r="F16" s="8" t="inlineStr">
        <is>
          <t>ABERTO</t>
        </is>
      </c>
      <c r="G16" s="9" t="n">
        <v>46167</v>
      </c>
      <c r="H16" t="inlineStr">
        <is>
          <t>VictorMiguel</t>
        </is>
      </c>
      <c r="I16" t="inlineStr">
        <is>
          <t>T3010DW.OPEN.URBR_2026051901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NOK</t>
        </is>
      </c>
    </row>
    <row r="17">
      <c r="A17" t="n">
        <v>29834</v>
      </c>
      <c r="B17" t="inlineStr">
        <is>
          <t>normal</t>
        </is>
      </c>
      <c r="C17" t="inlineStr">
        <is>
          <t>SW</t>
        </is>
      </c>
      <c r="D17" t="inlineStr">
        <is>
          <t>HW VERIFICATION</t>
        </is>
      </c>
      <c r="E17" t="inlineStr">
        <is>
          <t>T3010W] [AND16] [HW VERIFICATION] Bluetooth exhibits connection loss at short distances (&lt;5m)</t>
        </is>
      </c>
      <c r="F17" s="8" t="inlineStr">
        <is>
          <t>ABERTO</t>
        </is>
      </c>
      <c r="G17" t="inlineStr">
        <is>
          <t xml:space="preserve">	2026-05-26</t>
        </is>
      </c>
      <c r="H17" t="inlineStr">
        <is>
          <t>inaciobrazil</t>
        </is>
      </c>
      <c r="I17" t="inlineStr">
        <is>
          <t>T3010DW.OPEN.URBR_2026051901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NOK</t>
        </is>
      </c>
    </row>
    <row r="18">
      <c r="A18" t="n">
        <v>29833</v>
      </c>
      <c r="B18" t="inlineStr">
        <is>
          <t>normal</t>
        </is>
      </c>
      <c r="C18" t="inlineStr">
        <is>
          <t>SW</t>
        </is>
      </c>
      <c r="D18" t="inlineStr">
        <is>
          <t>HW VERIFICATION</t>
        </is>
      </c>
      <c r="E18" t="inlineStr">
        <is>
          <t>[T3010W] [AND16] [HW VERIFICATION] Wi-Fi Download Throughput Significantly Lower Than Reference Device</t>
        </is>
      </c>
      <c r="F18" s="8" t="inlineStr">
        <is>
          <t>ABERTO</t>
        </is>
      </c>
      <c r="G18" t="inlineStr">
        <is>
          <t xml:space="preserve">	2026-05-26</t>
        </is>
      </c>
      <c r="H18" t="inlineStr">
        <is>
          <t>inaciobrazil</t>
        </is>
      </c>
      <c r="I18" t="inlineStr">
        <is>
          <t>T3010DW.OPEN.URBR_2026051901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NOK</t>
        </is>
      </c>
    </row>
    <row r="19">
      <c r="A19" t="n">
        <v>29849</v>
      </c>
      <c r="B19" t="inlineStr">
        <is>
          <t>normal</t>
        </is>
      </c>
      <c r="C19" t="inlineStr">
        <is>
          <t>SW</t>
        </is>
      </c>
      <c r="D19" t="inlineStr">
        <is>
          <t>OTHER</t>
        </is>
      </c>
      <c r="E19" t="inlineStr">
        <is>
          <t>[T3010DW] [AND16] [SENSOR] Residual accelerometer drift displayed while device is stationary</t>
        </is>
      </c>
      <c r="F19" s="8" t="inlineStr">
        <is>
          <t>ABERTO</t>
        </is>
      </c>
      <c r="G19" s="9" t="n">
        <v>46170</v>
      </c>
      <c r="H19" t="inlineStr">
        <is>
          <t>GuilhermeLima</t>
        </is>
      </c>
      <c r="I19" t="inlineStr">
        <is>
          <t>T3010DW.OPEN.URBR_2026051901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NOK</t>
        </is>
      </c>
    </row>
    <row r="20">
      <c r="A20" t="n">
        <v>29850</v>
      </c>
      <c r="B20" t="inlineStr">
        <is>
          <t>High</t>
        </is>
      </c>
      <c r="C20" t="inlineStr">
        <is>
          <t>SW</t>
        </is>
      </c>
      <c r="D20" t="inlineStr">
        <is>
          <t>OTHER</t>
        </is>
      </c>
      <c r="E20" t="inlineStr">
        <is>
          <t>[T3010DW] [AND16] [UI] Rotation suggestion button is not displayed when Auto-rotate is disabled</t>
        </is>
      </c>
      <c r="F20" s="8" t="inlineStr">
        <is>
          <t>ABERTO</t>
        </is>
      </c>
      <c r="G20" s="9" t="n">
        <v>46170</v>
      </c>
      <c r="H20" t="inlineStr">
        <is>
          <t>GuilhermeLima</t>
        </is>
      </c>
      <c r="I20" t="inlineStr">
        <is>
          <t>T3010DW.OPEN.URBR_2026051901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NOK</t>
        </is>
      </c>
    </row>
    <row r="21">
      <c r="A21" t="n">
        <v>29851</v>
      </c>
      <c r="B21" s="10" t="inlineStr">
        <is>
          <t>immediate</t>
        </is>
      </c>
      <c r="C21" t="inlineStr">
        <is>
          <t>SW</t>
        </is>
      </c>
      <c r="D21" t="inlineStr">
        <is>
          <t>OTHER</t>
        </is>
      </c>
      <c r="E21" t="inlineStr">
        <is>
          <t>[T3010DW] [AND16] [SENSOR] Residual gyroscope movement displayed while device is stationary</t>
        </is>
      </c>
      <c r="F21" s="8" t="inlineStr">
        <is>
          <t>ABERTO</t>
        </is>
      </c>
      <c r="G21" s="9" t="n">
        <v>46170</v>
      </c>
      <c r="H21" t="inlineStr">
        <is>
          <t>GuilhermeLima</t>
        </is>
      </c>
      <c r="I21" t="inlineStr">
        <is>
          <t>T3010DW.OPEN.URBR_2026051901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NOK</t>
        </is>
      </c>
    </row>
    <row r="22">
      <c r="A22" t="n">
        <v>29852</v>
      </c>
      <c r="B22" t="inlineStr">
        <is>
          <t>High</t>
        </is>
      </c>
      <c r="C22" t="inlineStr">
        <is>
          <t>SW</t>
        </is>
      </c>
      <c r="D22" t="inlineStr">
        <is>
          <t>OTHER</t>
        </is>
      </c>
      <c r="E22" t="inlineStr">
        <is>
          <t>[T3010DW] [AND16] [SENSOR] Residual X-axis tilt displayed in Bubble Level app while device is resting flat</t>
        </is>
      </c>
      <c r="F22" s="8" t="inlineStr">
        <is>
          <t>ABERTO</t>
        </is>
      </c>
      <c r="G22" s="9" t="n">
        <v>46170</v>
      </c>
      <c r="H22" t="inlineStr">
        <is>
          <t>GuilhermeLima</t>
        </is>
      </c>
      <c r="I22" t="inlineStr">
        <is>
          <t>T3010DW.OPEN.URBR_2026051901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NOK</t>
        </is>
      </c>
    </row>
    <row r="23">
      <c r="A23" t="n">
        <v>29853</v>
      </c>
      <c r="B23" t="inlineStr">
        <is>
          <t>High</t>
        </is>
      </c>
      <c r="C23" t="inlineStr">
        <is>
          <t>SW</t>
        </is>
      </c>
      <c r="D23" t="inlineStr">
        <is>
          <t>OTHER</t>
        </is>
      </c>
      <c r="E23" t="inlineStr">
        <is>
          <t>[T3010DW] [AND16] [SENSOR] Residual Y-axis values observed in CPU-Z sensors while device is stationary</t>
        </is>
      </c>
      <c r="F23" s="8" t="inlineStr">
        <is>
          <t>ABERTO</t>
        </is>
      </c>
      <c r="G23" s="9" t="n">
        <v>46170</v>
      </c>
      <c r="H23" t="inlineStr">
        <is>
          <t>GuilhermeLima</t>
        </is>
      </c>
      <c r="I23" t="inlineStr">
        <is>
          <t>T3010DW.OPEN.URBR_2026051901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NOK</t>
        </is>
      </c>
    </row>
    <row r="24">
      <c r="A24" t="n">
        <v>29879</v>
      </c>
      <c r="B24" t="inlineStr">
        <is>
          <t>normal</t>
        </is>
      </c>
      <c r="C24" t="inlineStr">
        <is>
          <t>SW</t>
        </is>
      </c>
      <c r="D24" t="inlineStr">
        <is>
          <t>SW VERIFICATION</t>
        </is>
      </c>
      <c r="E24" t="inlineStr">
        <is>
          <t>[T3010W] [AND16] [SW VERIFICATION] YouTube Music lock screen widget misaligned to top-left corner</t>
        </is>
      </c>
      <c r="F24" s="8" t="inlineStr">
        <is>
          <t>ABERTO</t>
        </is>
      </c>
      <c r="G24" s="9" t="n">
        <v>46174</v>
      </c>
      <c r="H24" t="inlineStr">
        <is>
          <t>marlusmello</t>
        </is>
      </c>
      <c r="I24" t="inlineStr">
        <is>
          <t>T3010DW.URBR2026060101U.pro.u_pk_s_v0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NOK</t>
        </is>
      </c>
    </row>
    <row r="25">
      <c r="A25" t="n">
        <v>29880</v>
      </c>
      <c r="B25" s="10" t="inlineStr">
        <is>
          <t>urgent</t>
        </is>
      </c>
      <c r="C25" t="inlineStr">
        <is>
          <t>SW</t>
        </is>
      </c>
      <c r="D25" t="inlineStr">
        <is>
          <t>SW VERIFICATION</t>
        </is>
      </c>
      <c r="E25" t="inlineStr">
        <is>
          <t>[T3010W] [AND16] [SW VERIFICATION] Folder icons rendered with low quality and pixelation</t>
        </is>
      </c>
      <c r="F25" s="8" t="inlineStr">
        <is>
          <t>ABERTO</t>
        </is>
      </c>
      <c r="G25" s="9" t="n">
        <v>46174</v>
      </c>
      <c r="H25" t="inlineStr">
        <is>
          <t>marlusmello</t>
        </is>
      </c>
      <c r="I25" t="inlineStr">
        <is>
          <t>T3010DW.URBR2026060101U.pro.u_pk_s_v0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NOK</t>
        </is>
      </c>
    </row>
    <row r="26">
      <c r="A26" t="n">
        <v>29814</v>
      </c>
      <c r="B26" t="inlineStr">
        <is>
          <t>Normal</t>
        </is>
      </c>
      <c r="C26" t="inlineStr">
        <is>
          <t>SW</t>
        </is>
      </c>
      <c r="D26" t="inlineStr">
        <is>
          <t>CAMERA</t>
        </is>
      </c>
      <c r="E26" t="inlineStr">
        <is>
          <t>[T3010W] [AND16] [CAMERA] Missed information camera settings</t>
        </is>
      </c>
      <c r="F26" s="8" t="inlineStr">
        <is>
          <t>ABERTO</t>
        </is>
      </c>
      <c r="G26" s="9" t="n">
        <v>46164</v>
      </c>
      <c r="H26" t="inlineStr">
        <is>
          <t>VictorMiguel</t>
        </is>
      </c>
      <c r="I26" t="inlineStr">
        <is>
          <t>T3010DW.URBR2026051901U.pro.u_pk_s_v0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</sheetData>
  <dataValidations count="2">
    <dataValidation sqref="F2:F26" showDropDown="0" showInputMessage="0" showErrorMessage="0" allowBlank="1" error="Selecione um status válido" type="list">
      <formula1>"ABERTO,EM ANÁLISE,EM DESENVOLVIMENTO,AGUARDANDO VALIDAÇÃO,RESOLVIDO,REJEITADO,CANCELADO"</formula1>
    </dataValidation>
    <dataValidation sqref="H2:H26" showDropDown="0" showInputMessage="0" showErrorMessage="0" allowBlank="1" error="Selecione um responsável válido" type="list">
      <formula1>"Marlus,marlusmello,VictorMiguel,GuilhermeLima,inaciobrazil,ODM,Ztech"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DEFINIÇÃO DE STATUS</t>
        </is>
      </c>
    </row>
    <row r="2">
      <c r="A2" s="12" t="inlineStr">
        <is>
          <t>ABERTO</t>
        </is>
      </c>
      <c r="B2" t="inlineStr">
        <is>
          <t>Issue novo, sem ação iniciada</t>
        </is>
      </c>
    </row>
    <row r="3">
      <c r="A3" s="12" t="inlineStr">
        <is>
          <t>EM ANÁLISE</t>
        </is>
      </c>
      <c r="B3" t="inlineStr">
        <is>
          <t>Marlus/ODM investigando a causa</t>
        </is>
      </c>
    </row>
    <row r="4">
      <c r="A4" s="12" t="inlineStr">
        <is>
          <t>EM DESENVOLVIMENTO</t>
        </is>
      </c>
      <c r="B4" t="inlineStr">
        <is>
          <t>ODM/Ztech trabalhando na correção</t>
        </is>
      </c>
    </row>
    <row r="5">
      <c r="A5" s="12" t="inlineStr">
        <is>
          <t>AGUARDANDO VALIDAÇÃO</t>
        </is>
      </c>
      <c r="B5" t="inlineStr">
        <is>
          <t>Fix pronto, aguardando teste</t>
        </is>
      </c>
    </row>
    <row r="6">
      <c r="A6" s="12" t="inlineStr">
        <is>
          <t>RESOLVIDO</t>
        </is>
      </c>
      <c r="B6" t="inlineStr">
        <is>
          <t>Versão lançada com correção</t>
        </is>
      </c>
    </row>
    <row r="7">
      <c r="A7" s="12" t="inlineStr">
        <is>
          <t>REJEITADO</t>
        </is>
      </c>
      <c r="B7" t="inlineStr">
        <is>
          <t>Não será corrigido (especificar motivo nos comentários)</t>
        </is>
      </c>
    </row>
    <row r="8">
      <c r="A8" s="12" t="inlineStr">
        <is>
          <t>CANCELADO</t>
        </is>
      </c>
      <c r="B8" t="inlineStr">
        <is>
          <t>Duplicado ou não aplicável</t>
        </is>
      </c>
    </row>
    <row r="10">
      <c r="A10" s="2" t="inlineStr">
        <is>
          <t>RESPONSÁVEIS</t>
        </is>
      </c>
    </row>
    <row r="11">
      <c r="A11" s="12" t="inlineStr">
        <is>
          <t>Marlus</t>
        </is>
      </c>
      <c r="B11" t="inlineStr">
        <is>
          <t>QA/Focal - Validação e rastreamento</t>
        </is>
      </c>
    </row>
    <row r="12">
      <c r="A12" s="12" t="inlineStr">
        <is>
          <t>marlusmello</t>
        </is>
      </c>
      <c r="B12" t="inlineStr">
        <is>
          <t>QA/Focal - Validação e rastreamento</t>
        </is>
      </c>
    </row>
    <row r="13">
      <c r="A13" s="12" t="inlineStr">
        <is>
          <t>VictorMiguel</t>
        </is>
      </c>
      <c r="B13" t="inlineStr">
        <is>
          <t>Equipe de testes</t>
        </is>
      </c>
    </row>
    <row r="14">
      <c r="A14" s="12" t="inlineStr">
        <is>
          <t>GuilhermeLima</t>
        </is>
      </c>
      <c r="B14" t="inlineStr">
        <is>
          <t>Equipe de testes</t>
        </is>
      </c>
    </row>
    <row r="15">
      <c r="A15" s="12" t="inlineStr">
        <is>
          <t>inaciobrazil</t>
        </is>
      </c>
      <c r="B15" t="inlineStr">
        <is>
          <t>Equipe de testes</t>
        </is>
      </c>
    </row>
    <row r="16">
      <c r="A16" s="12" t="inlineStr">
        <is>
          <t>ODM</t>
        </is>
      </c>
      <c r="B16" t="inlineStr">
        <is>
          <t>Fornecedor/Desenvolvedor (genérico)</t>
        </is>
      </c>
    </row>
    <row r="17">
      <c r="A17" s="12" t="inlineStr">
        <is>
          <t>Ztech</t>
        </is>
      </c>
      <c r="B17" t="inlineStr">
        <is>
          <t>Ztech (genérico)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2026-06-01T20:42:22Z</dcterms:created>
  <dcterms:modified xmlns:dcterms="http://purl.org/dc/terms/" xmlns:xsi="http://www.w3.org/2001/XMLSchema-instance" xsi:type="dcterms:W3CDTF">2026-06-01T20:42:22Z</dcterms:modified>
</cp:coreProperties>
</file>